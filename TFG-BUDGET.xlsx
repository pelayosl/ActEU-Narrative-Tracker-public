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lay\Documents\EII\4º Software\TFG\"/>
    </mc:Choice>
  </mc:AlternateContent>
  <xr:revisionPtr revIDLastSave="0" documentId="13_ncr:1_{3FAE5BF6-7BFD-415B-8AFE-04E9E1384C3A}" xr6:coauthVersionLast="47" xr6:coauthVersionMax="47" xr10:uidLastSave="{00000000-0000-0000-0000-000000000000}"/>
  <bookViews>
    <workbookView xWindow="-120" yWindow="-120" windowWidth="29040" windowHeight="15720" activeTab="1" xr2:uid="{A8D38629-4F70-4F81-96AE-30B7AB9DB742}"/>
  </bookViews>
  <sheets>
    <sheet name="Company Definition" sheetId="1" r:id="rId1"/>
    <sheet name="Detailed Budg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2" l="1"/>
  <c r="H101" i="2"/>
  <c r="H102" i="2"/>
  <c r="H104" i="2"/>
  <c r="H105" i="2"/>
  <c r="H107" i="2"/>
  <c r="H108" i="2"/>
  <c r="H110" i="2"/>
  <c r="H111" i="2"/>
  <c r="H113" i="2"/>
  <c r="H114" i="2"/>
  <c r="H116" i="2"/>
  <c r="H117" i="2"/>
  <c r="H119" i="2"/>
  <c r="H120" i="2"/>
  <c r="M9" i="2"/>
  <c r="M8" i="2"/>
  <c r="M7" i="2"/>
  <c r="M6" i="2"/>
  <c r="M5" i="2"/>
  <c r="M4" i="2"/>
  <c r="H99" i="2"/>
  <c r="H98" i="2"/>
  <c r="H95" i="2"/>
  <c r="I94" i="2" s="1"/>
  <c r="H93" i="2"/>
  <c r="I92" i="2" s="1"/>
  <c r="H91" i="2"/>
  <c r="I90" i="2" s="1"/>
  <c r="H88" i="2"/>
  <c r="I87" i="2" s="1"/>
  <c r="H86" i="2"/>
  <c r="I85" i="2" s="1"/>
  <c r="H84" i="2"/>
  <c r="I83" i="2" s="1"/>
  <c r="H82" i="2"/>
  <c r="I81" i="2" s="1"/>
  <c r="H80" i="2"/>
  <c r="I79" i="2" s="1"/>
  <c r="H78" i="2"/>
  <c r="I77" i="2" s="1"/>
  <c r="H75" i="2"/>
  <c r="I74" i="2" s="1"/>
  <c r="H73" i="2"/>
  <c r="I72" i="2" s="1"/>
  <c r="H67" i="2"/>
  <c r="I66" i="2" s="1"/>
  <c r="H65" i="2"/>
  <c r="I64" i="2" s="1"/>
  <c r="H58" i="2"/>
  <c r="I57" i="2" s="1"/>
  <c r="H54" i="2"/>
  <c r="H48" i="2"/>
  <c r="I47" i="2" s="1"/>
  <c r="H45" i="2"/>
  <c r="I44" i="2" s="1"/>
  <c r="H41" i="2"/>
  <c r="I40" i="2" s="1"/>
  <c r="H43" i="2"/>
  <c r="I42" i="2" s="1"/>
  <c r="H28" i="2"/>
  <c r="I27" i="2"/>
  <c r="H26" i="2"/>
  <c r="H20" i="2"/>
  <c r="I19" i="2" s="1"/>
  <c r="H18" i="2"/>
  <c r="I17" i="2" s="1"/>
  <c r="H71" i="2"/>
  <c r="H69" i="2"/>
  <c r="H63" i="2"/>
  <c r="I62" i="2" s="1"/>
  <c r="H61" i="2"/>
  <c r="I60" i="2" s="1"/>
  <c r="H56" i="2"/>
  <c r="H52" i="2"/>
  <c r="I51" i="2" s="1"/>
  <c r="H50" i="2"/>
  <c r="H37" i="2"/>
  <c r="I36" i="2" s="1"/>
  <c r="H31" i="2"/>
  <c r="I30" i="2" s="1"/>
  <c r="H16" i="2"/>
  <c r="H39" i="2"/>
  <c r="I38" i="2" s="1"/>
  <c r="H35" i="2"/>
  <c r="I34" i="2" s="1"/>
  <c r="H33" i="2"/>
  <c r="I32" i="2" s="1"/>
  <c r="H24" i="2"/>
  <c r="I23" i="2" s="1"/>
  <c r="H22" i="2"/>
  <c r="I21" i="2" s="1"/>
  <c r="H14" i="2"/>
  <c r="I13" i="2" s="1"/>
  <c r="H12" i="2"/>
  <c r="I11" i="2" s="1"/>
  <c r="H10" i="2"/>
  <c r="I9" i="2" s="1"/>
  <c r="H8" i="2"/>
  <c r="H6" i="2"/>
  <c r="I5" i="2" s="1"/>
  <c r="I7" i="2"/>
  <c r="I15" i="2"/>
  <c r="I25" i="2"/>
  <c r="I70" i="2"/>
  <c r="I68" i="2"/>
  <c r="I55" i="2"/>
  <c r="I49" i="2"/>
  <c r="I53" i="2"/>
  <c r="C21" i="1"/>
  <c r="C22" i="1"/>
  <c r="C32" i="1"/>
  <c r="H6" i="1"/>
  <c r="H12" i="1"/>
  <c r="H13" i="1"/>
  <c r="E9" i="1"/>
  <c r="H9" i="1" s="1"/>
  <c r="E10" i="1"/>
  <c r="H10" i="1" s="1"/>
  <c r="E11" i="1"/>
  <c r="H11" i="1" s="1"/>
  <c r="E6" i="1"/>
  <c r="E7" i="1"/>
  <c r="E8" i="1"/>
  <c r="E4" i="1"/>
  <c r="H4" i="1" s="1"/>
  <c r="E5" i="1"/>
  <c r="B33" i="1"/>
  <c r="C20" i="1"/>
  <c r="B14" i="1"/>
  <c r="H14" i="1" s="1"/>
  <c r="K19" i="1"/>
  <c r="K20" i="1"/>
  <c r="K21" i="1"/>
  <c r="K22" i="1" s="1"/>
  <c r="K18" i="1"/>
  <c r="N12" i="1"/>
  <c r="N13" i="1"/>
  <c r="N14" i="1"/>
  <c r="N11" i="1"/>
  <c r="M5" i="1"/>
  <c r="N5" i="1" s="1"/>
  <c r="K12" i="1" s="1"/>
  <c r="M12" i="1" s="1"/>
  <c r="M6" i="1"/>
  <c r="N6" i="1" s="1"/>
  <c r="K13" i="1" s="1"/>
  <c r="M13" i="1" s="1"/>
  <c r="M7" i="1"/>
  <c r="N7" i="1" s="1"/>
  <c r="K14" i="1" s="1"/>
  <c r="M14" i="1" s="1"/>
  <c r="M4" i="1"/>
  <c r="N4" i="1" s="1"/>
  <c r="I106" i="2" l="1"/>
  <c r="I103" i="2"/>
  <c r="I118" i="2"/>
  <c r="I112" i="2"/>
  <c r="I115" i="2"/>
  <c r="I100" i="2"/>
  <c r="I109" i="2"/>
  <c r="I97" i="2"/>
  <c r="J59" i="2"/>
  <c r="N7" i="2" s="1"/>
  <c r="J89" i="2"/>
  <c r="N9" i="2" s="1"/>
  <c r="J46" i="2"/>
  <c r="N6" i="2" s="1"/>
  <c r="J29" i="2"/>
  <c r="N5" i="2" s="1"/>
  <c r="J4" i="2"/>
  <c r="N4" i="2" s="1"/>
  <c r="J76" i="2"/>
  <c r="N8" i="2" s="1"/>
  <c r="N8" i="1"/>
  <c r="E14" i="1"/>
  <c r="E15" i="1" s="1"/>
  <c r="C33" i="1"/>
  <c r="K11" i="1"/>
  <c r="M11" i="1" s="1"/>
  <c r="M15" i="1" s="1"/>
  <c r="S11" i="1" s="1"/>
  <c r="O14" i="1"/>
  <c r="O13" i="1"/>
  <c r="O12" i="1"/>
  <c r="J96" i="2" l="1"/>
  <c r="O11" i="1"/>
  <c r="O15" i="1" s="1"/>
  <c r="S12" i="1" s="1"/>
  <c r="J121" i="2" l="1"/>
  <c r="N11" i="2"/>
  <c r="S13" i="1"/>
  <c r="S14" i="1" s="1"/>
  <c r="S15" i="1" s="1"/>
  <c r="N25" i="1"/>
  <c r="N12" i="2" l="1"/>
  <c r="N13" i="2"/>
  <c r="N19" i="1"/>
  <c r="L19" i="1" s="1"/>
  <c r="M19" i="1" s="1"/>
  <c r="N21" i="1"/>
  <c r="L21" i="1" s="1"/>
  <c r="M21" i="1" s="1"/>
  <c r="M22" i="1" s="1"/>
  <c r="S16" i="1" s="1"/>
  <c r="S17" i="1" s="1"/>
  <c r="N18" i="1"/>
  <c r="L18" i="1" s="1"/>
  <c r="M18" i="1" s="1"/>
  <c r="N20" i="1"/>
  <c r="L20" i="1" s="1"/>
  <c r="M20" i="1" s="1"/>
</calcChain>
</file>

<file path=xl/sharedStrings.xml><?xml version="1.0" encoding="utf-8"?>
<sst xmlns="http://schemas.openxmlformats.org/spreadsheetml/2006/main" count="403" uniqueCount="159">
  <si>
    <t>Microsoft Windows 11</t>
  </si>
  <si>
    <t>Microsoft Office 365</t>
  </si>
  <si>
    <t>Claude Code</t>
  </si>
  <si>
    <t>Product</t>
  </si>
  <si>
    <t>PyCharm Pro</t>
  </si>
  <si>
    <t>Quantity</t>
  </si>
  <si>
    <t>Microsoft Project 2016</t>
  </si>
  <si>
    <t>Vercel</t>
  </si>
  <si>
    <t>MongoDB Atlas</t>
  </si>
  <si>
    <t>GitHub</t>
  </si>
  <si>
    <t>Docker Desktop</t>
  </si>
  <si>
    <t>Type</t>
  </si>
  <si>
    <t>Subscription</t>
  </si>
  <si>
    <t>Google AI Studio</t>
  </si>
  <si>
    <t>Yearly salary cost</t>
  </si>
  <si>
    <t>Yearly gross salary</t>
  </si>
  <si>
    <t>Total</t>
  </si>
  <si>
    <t>Team Leader</t>
  </si>
  <si>
    <t>Data Engineer</t>
  </si>
  <si>
    <t>Junior Developer</t>
  </si>
  <si>
    <t>Project Leader</t>
  </si>
  <si>
    <t>HP ENVY 17-da0000ns (Includes Windows License)</t>
  </si>
  <si>
    <t>Role</t>
  </si>
  <si>
    <t>Prod (%)</t>
  </si>
  <si>
    <t>Direct cost</t>
  </si>
  <si>
    <t>CI (%)</t>
  </si>
  <si>
    <t>Indirect cost</t>
  </si>
  <si>
    <t>Prod. Hours/yr</t>
  </si>
  <si>
    <t>Price/hour</t>
  </si>
  <si>
    <t>Billing</t>
  </si>
  <si>
    <t>Price/hour (w/o benefits)</t>
  </si>
  <si>
    <t>Service</t>
  </si>
  <si>
    <t>Monthly cost</t>
  </si>
  <si>
    <t>Anual cost</t>
  </si>
  <si>
    <t>Office cleaning</t>
  </si>
  <si>
    <t>Office rent</t>
  </si>
  <si>
    <t>Transport</t>
  </si>
  <si>
    <t>Audits</t>
  </si>
  <si>
    <t>Water expenses</t>
  </si>
  <si>
    <t>Electricity &amp; climate control</t>
  </si>
  <si>
    <t>Fiber Internet</t>
  </si>
  <si>
    <t>Accounting and payroll services</t>
  </si>
  <si>
    <t>Insurance</t>
  </si>
  <si>
    <t>Hardware maintenance</t>
  </si>
  <si>
    <t>Security and alarm system</t>
  </si>
  <si>
    <t>Waste tax</t>
  </si>
  <si>
    <t>Office supplies</t>
  </si>
  <si>
    <t>Communication costs</t>
  </si>
  <si>
    <t>Annual cost</t>
  </si>
  <si>
    <t>Price</t>
  </si>
  <si>
    <t>Time window</t>
  </si>
  <si>
    <t>Monthly</t>
  </si>
  <si>
    <t>Amortization</t>
  </si>
  <si>
    <t>Maintenance/unit</t>
  </si>
  <si>
    <t>Concept</t>
  </si>
  <si>
    <t>Cost</t>
  </si>
  <si>
    <t>Total direct costs</t>
  </si>
  <si>
    <t>Total indirect costs</t>
  </si>
  <si>
    <t>Total costs</t>
  </si>
  <si>
    <t>Target benefits (25%)</t>
  </si>
  <si>
    <t>Billing needs</t>
  </si>
  <si>
    <t>Billing based on productive hours</t>
  </si>
  <si>
    <t>BUDGET</t>
  </si>
  <si>
    <t>Overhead</t>
  </si>
  <si>
    <t>Total costs-billing margin</t>
  </si>
  <si>
    <t>I1</t>
  </si>
  <si>
    <t>I2</t>
  </si>
  <si>
    <t>I3</t>
  </si>
  <si>
    <t>Description</t>
  </si>
  <si>
    <t>Units</t>
  </si>
  <si>
    <t>Sprint 1: Analysis and planning</t>
  </si>
  <si>
    <t>Sprint 2: System design</t>
  </si>
  <si>
    <t>Sprint 3: Backend &amp; pipeline development</t>
  </si>
  <si>
    <t>Sprint 4: Full NLP pipeline implementation</t>
  </si>
  <si>
    <t>Hours</t>
  </si>
  <si>
    <t>Sprint 5: Data visualizations and web application aspects</t>
  </si>
  <si>
    <t>Sprint 6: Final documentation &amp; product refinements</t>
  </si>
  <si>
    <t>Unit testing</t>
  </si>
  <si>
    <t>Documentation (Chapters 8, 9)</t>
  </si>
  <si>
    <t>01</t>
  </si>
  <si>
    <t>02</t>
  </si>
  <si>
    <t>03</t>
  </si>
  <si>
    <t>Project planning</t>
  </si>
  <si>
    <t>ActEU paper research</t>
  </si>
  <si>
    <t>Project budgeting</t>
  </si>
  <si>
    <t>Literature research (topic modeling, BERT, classification…)</t>
  </si>
  <si>
    <t>Similar theses research</t>
  </si>
  <si>
    <t>Dataset understanding (format, metadata…)</t>
  </si>
  <si>
    <t>Research of alternatives</t>
  </si>
  <si>
    <t>Use case developing</t>
  </si>
  <si>
    <t>Overall technological decisions</t>
  </si>
  <si>
    <t>Project requirements</t>
  </si>
  <si>
    <t>Interface mock-ups</t>
  </si>
  <si>
    <t>Documentation (Chapters 2 &amp; 4)</t>
  </si>
  <si>
    <t>Data processing pipeline design</t>
  </si>
  <si>
    <t>Web system architecture design</t>
  </si>
  <si>
    <t>Testing strategy</t>
  </si>
  <si>
    <t>Database design</t>
  </si>
  <si>
    <t>Class design</t>
  </si>
  <si>
    <t>Tech stack sandboxing</t>
  </si>
  <si>
    <t>Documentation (Chapter 5)</t>
  </si>
  <si>
    <t>Github setup</t>
  </si>
  <si>
    <t>Main backend functionalities</t>
  </si>
  <si>
    <t>Database deployment &amp; faceted search functionalities</t>
  </si>
  <si>
    <t>Document retrieval based on user query</t>
  </si>
  <si>
    <t>Initial topic modeling mock with specific cases</t>
  </si>
  <si>
    <t>Documentation (Chapters 3 &amp; 6)</t>
  </si>
  <si>
    <t>LLM reconciliation of specific use case topics</t>
  </si>
  <si>
    <t>Topic generation for any query</t>
  </si>
  <si>
    <t>Human topic confirmation functionality</t>
  </si>
  <si>
    <t>Classificator training based on validated topics functionality</t>
  </si>
  <si>
    <t>Dataset labeling through classificator functionality</t>
  </si>
  <si>
    <t>Narrative trend visualizations</t>
  </si>
  <si>
    <t>WAF configuration &amp; other security aspects</t>
  </si>
  <si>
    <t>Web application refinements</t>
  </si>
  <si>
    <t>Usability tests</t>
  </si>
  <si>
    <t>Deployment</t>
  </si>
  <si>
    <t>Documentation (Chapters 9, 10 &amp; 11)</t>
  </si>
  <si>
    <t>Documentation (Chapters 1, 12 &amp; 13)</t>
  </si>
  <si>
    <t>Frontend refinements</t>
  </si>
  <si>
    <t>001</t>
  </si>
  <si>
    <t>002</t>
  </si>
  <si>
    <t>003</t>
  </si>
  <si>
    <t>004</t>
  </si>
  <si>
    <t>005</t>
  </si>
  <si>
    <t>04</t>
  </si>
  <si>
    <t>05</t>
  </si>
  <si>
    <t>06</t>
  </si>
  <si>
    <t>07</t>
  </si>
  <si>
    <t>006</t>
  </si>
  <si>
    <t>007</t>
  </si>
  <si>
    <t>008</t>
  </si>
  <si>
    <t>009</t>
  </si>
  <si>
    <t>010</t>
  </si>
  <si>
    <t>011</t>
  </si>
  <si>
    <t>012</t>
  </si>
  <si>
    <t>Subtotal</t>
  </si>
  <si>
    <t>Task</t>
  </si>
  <si>
    <t>Fortnightly meeting</t>
  </si>
  <si>
    <t>Meeting 1</t>
  </si>
  <si>
    <t>Meeting 2</t>
  </si>
  <si>
    <t>Meeting 3</t>
  </si>
  <si>
    <t>Meeting 4</t>
  </si>
  <si>
    <t>Meeting 5</t>
  </si>
  <si>
    <t>Meeting 6</t>
  </si>
  <si>
    <t>Meeting 7</t>
  </si>
  <si>
    <t>Meeting 8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</si>
  <si>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</si>
  <si>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</si>
  <si>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</si>
  <si>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</si>
  <si>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</si>
  <si>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</si>
  <si>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</si>
  <si>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</si>
  <si>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</si>
  <si>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Fortnightly meetings</t>
  </si>
  <si>
    <t>VAT (21%)</t>
  </si>
  <si>
    <t>Total (+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</si>
</sst>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[$€-C0A]_-;\-* #,##0.00\ [$€-C0A]_-;_-* &quot;-&quot;??\ [$€-C0A]_-;_-@_-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164" fontId="0" fillId="0" borderId="0" xfId="0" applyNumberForma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164" fontId="2" fillId="4" borderId="1" xfId="0" applyNumberFormat="1" applyFont="1" applyFill="1" applyBorder="1"/>
    <xf numFmtId="164" fontId="0" fillId="0" borderId="0" xfId="0" applyNumberFormat="1" applyAlignment="1">
      <alignment horizontal="center"/>
    </xf>
    <xf numFmtId="0" fontId="2" fillId="5" borderId="1" xfId="0" applyFont="1" applyFill="1" applyBorder="1"/>
    <xf numFmtId="9" fontId="0" fillId="0" borderId="1" xfId="3" applyFont="1" applyBorder="1" applyAlignment="1">
      <alignment horizontal="center"/>
    </xf>
    <xf numFmtId="9" fontId="0" fillId="3" borderId="1" xfId="3" applyFon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2" fillId="4" borderId="4" xfId="0" applyNumberFormat="1" applyFont="1" applyFill="1" applyBorder="1"/>
    <xf numFmtId="165" fontId="0" fillId="0" borderId="2" xfId="1" applyNumberFormat="1" applyFont="1" applyBorder="1" applyAlignment="1">
      <alignment horizontal="center"/>
    </xf>
    <xf numFmtId="165" fontId="0" fillId="3" borderId="2" xfId="1" applyNumberFormat="1" applyFont="1" applyFill="1" applyBorder="1" applyAlignment="1">
      <alignment horizontal="center"/>
    </xf>
    <xf numFmtId="0" fontId="2" fillId="4" borderId="2" xfId="0" applyFont="1" applyFill="1" applyBorder="1"/>
    <xf numFmtId="0" fontId="2" fillId="4" borderId="3" xfId="0" applyFont="1" applyFill="1" applyBorder="1"/>
    <xf numFmtId="164" fontId="0" fillId="0" borderId="1" xfId="0" applyNumberFormat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44" fontId="0" fillId="0" borderId="1" xfId="2" applyFont="1" applyBorder="1" applyAlignment="1">
      <alignment horizontal="left"/>
    </xf>
    <xf numFmtId="44" fontId="0" fillId="3" borderId="1" xfId="2" applyFont="1" applyFill="1" applyBorder="1" applyAlignment="1">
      <alignment horizontal="left"/>
    </xf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left"/>
    </xf>
    <xf numFmtId="9" fontId="0" fillId="3" borderId="5" xfId="3" applyFont="1" applyFill="1" applyBorder="1" applyAlignment="1">
      <alignment horizontal="center"/>
    </xf>
    <xf numFmtId="164" fontId="2" fillId="0" borderId="6" xfId="0" applyNumberFormat="1" applyFont="1" applyBorder="1"/>
    <xf numFmtId="44" fontId="2" fillId="4" borderId="2" xfId="2" applyFont="1" applyFill="1" applyBorder="1" applyAlignment="1"/>
    <xf numFmtId="44" fontId="0" fillId="0" borderId="7" xfId="2" applyFont="1" applyFill="1" applyBorder="1" applyAlignment="1">
      <alignment horizontal="left"/>
    </xf>
    <xf numFmtId="0" fontId="0" fillId="6" borderId="2" xfId="0" applyFill="1" applyBorder="1" applyAlignment="1">
      <alignment horizontal="left"/>
    </xf>
    <xf numFmtId="44" fontId="2" fillId="4" borderId="1" xfId="2" applyFont="1" applyFill="1" applyBorder="1" applyAlignment="1"/>
    <xf numFmtId="0" fontId="0" fillId="0" borderId="1" xfId="2" applyNumberFormat="1" applyFont="1" applyBorder="1" applyAlignment="1">
      <alignment horizontal="center"/>
    </xf>
    <xf numFmtId="0" fontId="0" fillId="3" borderId="1" xfId="2" applyNumberFormat="1" applyFont="1" applyFill="1" applyBorder="1" applyAlignment="1">
      <alignment horizontal="center"/>
    </xf>
    <xf numFmtId="165" fontId="0" fillId="3" borderId="8" xfId="1" applyNumberFormat="1" applyFont="1" applyFill="1" applyBorder="1" applyAlignment="1">
      <alignment horizontal="center"/>
    </xf>
    <xf numFmtId="165" fontId="0" fillId="3" borderId="9" xfId="1" applyNumberFormat="1" applyFont="1" applyFill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0" fillId="0" borderId="2" xfId="1" applyNumberFormat="1" applyFont="1" applyBorder="1" applyAlignment="1">
      <alignment horizontal="center"/>
    </xf>
    <xf numFmtId="0" fontId="0" fillId="3" borderId="8" xfId="1" applyNumberFormat="1" applyFont="1" applyFill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0" fillId="3" borderId="9" xfId="1" applyNumberFormat="1" applyFont="1" applyFill="1" applyBorder="1" applyAlignment="1">
      <alignment horizontal="center"/>
    </xf>
    <xf numFmtId="0" fontId="0" fillId="3" borderId="2" xfId="1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4" fontId="2" fillId="4" borderId="1" xfId="2" applyFont="1" applyFill="1" applyBorder="1" applyAlignment="1">
      <alignment horizontal="center"/>
    </xf>
    <xf numFmtId="0" fontId="3" fillId="7" borderId="10" xfId="0" applyFont="1" applyFill="1" applyBorder="1"/>
    <xf numFmtId="0" fontId="0" fillId="7" borderId="11" xfId="0" applyFill="1" applyBorder="1"/>
    <xf numFmtId="2" fontId="0" fillId="3" borderId="5" xfId="0" applyNumberFormat="1" applyFill="1" applyBorder="1" applyAlignment="1">
      <alignment horizontal="center"/>
    </xf>
    <xf numFmtId="2" fontId="2" fillId="4" borderId="4" xfId="0" applyNumberFormat="1" applyFont="1" applyFill="1" applyBorder="1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1" xfId="0" applyBorder="1"/>
    <xf numFmtId="0" fontId="5" fillId="8" borderId="1" xfId="0" applyFont="1" applyFill="1" applyBorder="1" applyAlignment="1">
      <alignment vertical="center" wrapText="1"/>
    </xf>
    <xf numFmtId="49" fontId="0" fillId="0" borderId="1" xfId="0" applyNumberFormat="1" applyBorder="1"/>
    <xf numFmtId="44" fontId="0" fillId="0" borderId="1" xfId="2" applyFont="1" applyBorder="1"/>
    <xf numFmtId="44" fontId="0" fillId="0" borderId="1" xfId="0" applyNumberFormat="1" applyBorder="1"/>
    <xf numFmtId="44" fontId="2" fillId="4" borderId="1" xfId="2" applyFont="1" applyFill="1" applyBorder="1" applyAlignment="1">
      <alignment horizontal="left"/>
    </xf>
    <xf numFmtId="44" fontId="2" fillId="9" borderId="1" xfId="0" applyNumberFormat="1" applyFont="1" applyFill="1" applyBorder="1"/>
    <xf numFmtId="49" fontId="0" fillId="10" borderId="1" xfId="0" applyNumberFormat="1" applyFill="1" applyBorder="1"/>
    <xf numFmtId="0" fontId="4" fillId="10" borderId="1" xfId="0" applyFont="1" applyFill="1" applyBorder="1" applyAlignment="1">
      <alignment vertical="center" wrapText="1"/>
    </xf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44" fontId="0" fillId="10" borderId="1" xfId="2" applyFont="1" applyFill="1" applyBorder="1"/>
    <xf numFmtId="49" fontId="0" fillId="3" borderId="1" xfId="0" applyNumberFormat="1" applyFill="1" applyBorder="1"/>
    <xf numFmtId="0" fontId="5" fillId="3" borderId="1" xfId="0" applyFont="1" applyFill="1" applyBorder="1" applyAlignment="1">
      <alignment vertical="center" wrapText="1"/>
    </xf>
    <xf numFmtId="0" fontId="0" fillId="3" borderId="1" xfId="0" applyFill="1" applyBorder="1"/>
    <xf numFmtId="44" fontId="0" fillId="3" borderId="1" xfId="2" applyFont="1" applyFill="1" applyBorder="1"/>
    <xf numFmtId="0" fontId="2" fillId="10" borderId="1" xfId="0" applyFont="1" applyFill="1" applyBorder="1"/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12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4" fontId="0" fillId="3" borderId="1" xfId="0" applyNumberFormat="1" applyFill="1" applyBorder="1"/>
    <xf numFmtId="49" fontId="0" fillId="6" borderId="1" xfId="0" applyNumberFormat="1" applyFill="1" applyBorder="1"/>
    <xf numFmtId="0" fontId="5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44" fontId="0" fillId="6" borderId="1" xfId="2" applyFont="1" applyFill="1" applyBorder="1"/>
    <xf numFmtId="44" fontId="0" fillId="0" borderId="0" xfId="0" applyNumberFormat="1"/>
    <xf numFmtId="44" fontId="0" fillId="6" borderId="1" xfId="0" applyNumberFormat="1" applyFill="1" applyBorder="1"/>
    <xf numFmtId="0" fontId="0" fillId="9" borderId="1" xfId="0" applyFill="1" applyBorder="1"/>
    <xf numFmtId="44" fontId="0" fillId="9" borderId="1" xfId="0" applyNumberFormat="1" applyFill="1" applyBorder="1"/>
    <xf numFmtId="0" fontId="0" fillId="11" borderId="1" xfId="0" applyFill="1" applyBorder="1"/>
    <xf numFmtId="44" fontId="0" fillId="11" borderId="1" xfId="0" applyNumberFormat="1" applyFill="1" applyBorder="1"/>
    <xf numFmtId="0" fontId="2" fillId="4" borderId="1" xfId="0" applyFont="1" applyFill="1" applyBorder="1"/>
    <xf numFmtId="44" fontId="2" fillId="4" borderId="1" xfId="0" applyNumberFormat="1" applyFont="1" applyFill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30BD-7AED-4F0B-A168-ED12C0A0E4F6}">
  <dimension ref="A1:S33"/>
  <sheetViews>
    <sheetView topLeftCell="D1" zoomScale="115" zoomScaleNormal="115" workbookViewId="0">
      <selection activeCell="L18" sqref="L18"/>
    </sheetView>
  </sheetViews>
  <sheetFormatPr defaultRowHeight="15" x14ac:dyDescent="0.25"/>
  <cols>
    <col min="1" max="1" width="23.5703125" customWidth="1"/>
    <col min="2" max="2" width="13.42578125" customWidth="1"/>
    <col min="3" max="3" width="14.7109375" customWidth="1"/>
    <col min="4" max="4" width="13.42578125" customWidth="1"/>
    <col min="5" max="5" width="12.85546875" customWidth="1"/>
    <col min="6" max="6" width="20" customWidth="1"/>
    <col min="7" max="7" width="15.28515625" customWidth="1"/>
    <col min="8" max="8" width="15" customWidth="1"/>
    <col min="10" max="10" width="16" customWidth="1"/>
    <col min="11" max="11" width="19.140625" customWidth="1"/>
    <col min="12" max="12" width="20" customWidth="1"/>
    <col min="13" max="13" width="20.42578125" customWidth="1"/>
    <col min="14" max="15" width="16.7109375" customWidth="1"/>
    <col min="16" max="16" width="12.140625" bestFit="1" customWidth="1"/>
    <col min="18" max="18" width="29.85546875" customWidth="1"/>
    <col min="19" max="19" width="14.42578125" customWidth="1"/>
  </cols>
  <sheetData>
    <row r="1" spans="1:19" s="49" customFormat="1" ht="15.75" thickBot="1" x14ac:dyDescent="0.3">
      <c r="A1" s="48" t="s">
        <v>62</v>
      </c>
    </row>
    <row r="3" spans="1:19" x14ac:dyDescent="0.25">
      <c r="A3" s="13" t="s">
        <v>3</v>
      </c>
      <c r="B3" s="46" t="s">
        <v>49</v>
      </c>
      <c r="C3" s="45" t="s">
        <v>5</v>
      </c>
      <c r="D3" s="46" t="s">
        <v>53</v>
      </c>
      <c r="E3" s="46" t="s">
        <v>48</v>
      </c>
      <c r="F3" s="45" t="s">
        <v>11</v>
      </c>
      <c r="G3" s="46" t="s">
        <v>50</v>
      </c>
      <c r="H3" s="46" t="s">
        <v>52</v>
      </c>
      <c r="J3" s="8" t="s">
        <v>22</v>
      </c>
      <c r="K3" s="3" t="s">
        <v>5</v>
      </c>
      <c r="L3" s="3" t="s">
        <v>15</v>
      </c>
      <c r="M3" s="3" t="s">
        <v>14</v>
      </c>
      <c r="N3" s="3" t="s">
        <v>16</v>
      </c>
    </row>
    <row r="4" spans="1:19" x14ac:dyDescent="0.25">
      <c r="A4" s="9" t="s">
        <v>0</v>
      </c>
      <c r="B4" s="5">
        <v>0</v>
      </c>
      <c r="C4" s="40">
        <v>2</v>
      </c>
      <c r="D4" s="5">
        <v>0</v>
      </c>
      <c r="E4" s="5">
        <f>B4*C4*12</f>
        <v>0</v>
      </c>
      <c r="F4" s="18" t="s">
        <v>52</v>
      </c>
      <c r="G4" s="35">
        <v>4</v>
      </c>
      <c r="H4" s="5">
        <f>E4*0.3333</f>
        <v>0</v>
      </c>
      <c r="J4" s="9" t="s">
        <v>17</v>
      </c>
      <c r="K4" s="4">
        <v>1</v>
      </c>
      <c r="L4" s="5">
        <v>45000</v>
      </c>
      <c r="M4" s="5">
        <f>L4+(L4*0.322)</f>
        <v>59490</v>
      </c>
      <c r="N4" s="5">
        <f>M4</f>
        <v>59490</v>
      </c>
    </row>
    <row r="5" spans="1:19" x14ac:dyDescent="0.25">
      <c r="A5" s="10" t="s">
        <v>1</v>
      </c>
      <c r="B5" s="7">
        <v>10</v>
      </c>
      <c r="C5" s="41">
        <v>2</v>
      </c>
      <c r="D5" s="7">
        <v>0</v>
      </c>
      <c r="E5" s="7">
        <f>B5*C5*12</f>
        <v>240</v>
      </c>
      <c r="F5" s="37" t="s">
        <v>12</v>
      </c>
      <c r="G5" s="36" t="s">
        <v>51</v>
      </c>
      <c r="H5" s="7">
        <v>0</v>
      </c>
      <c r="J5" s="10" t="s">
        <v>18</v>
      </c>
      <c r="K5" s="6">
        <v>1</v>
      </c>
      <c r="L5" s="7">
        <v>35000</v>
      </c>
      <c r="M5" s="7">
        <f t="shared" ref="M5:M7" si="0">L5+(L5*0.322)</f>
        <v>46270</v>
      </c>
      <c r="N5" s="7">
        <f t="shared" ref="N5:N7" si="1">M5</f>
        <v>46270</v>
      </c>
    </row>
    <row r="6" spans="1:19" x14ac:dyDescent="0.25">
      <c r="A6" s="9" t="s">
        <v>6</v>
      </c>
      <c r="B6" s="5">
        <v>59.9</v>
      </c>
      <c r="C6" s="42">
        <v>1</v>
      </c>
      <c r="D6" s="5">
        <v>0</v>
      </c>
      <c r="E6" s="5">
        <f>B6/G6</f>
        <v>14.975</v>
      </c>
      <c r="F6" s="39" t="s">
        <v>52</v>
      </c>
      <c r="G6" s="35">
        <v>4</v>
      </c>
      <c r="H6" s="5">
        <f>B6*0.3333*0.25</f>
        <v>4.9911674999999995</v>
      </c>
      <c r="J6" s="9" t="s">
        <v>19</v>
      </c>
      <c r="K6" s="4">
        <v>1</v>
      </c>
      <c r="L6" s="5">
        <v>24000</v>
      </c>
      <c r="M6" s="5">
        <f t="shared" si="0"/>
        <v>31728</v>
      </c>
      <c r="N6" s="5">
        <f t="shared" si="1"/>
        <v>31728</v>
      </c>
    </row>
    <row r="7" spans="1:19" x14ac:dyDescent="0.25">
      <c r="A7" s="10" t="s">
        <v>2</v>
      </c>
      <c r="B7" s="7">
        <v>20</v>
      </c>
      <c r="C7" s="43">
        <v>1</v>
      </c>
      <c r="D7" s="7">
        <v>0</v>
      </c>
      <c r="E7" s="7">
        <f>B7*C7*12</f>
        <v>240</v>
      </c>
      <c r="F7" s="38" t="s">
        <v>12</v>
      </c>
      <c r="G7" s="36" t="s">
        <v>51</v>
      </c>
      <c r="H7" s="7">
        <v>0</v>
      </c>
      <c r="J7" s="10" t="s">
        <v>20</v>
      </c>
      <c r="K7" s="6">
        <v>1</v>
      </c>
      <c r="L7" s="7">
        <v>53300</v>
      </c>
      <c r="M7" s="7">
        <f t="shared" si="0"/>
        <v>70462.600000000006</v>
      </c>
      <c r="N7" s="7">
        <f t="shared" si="1"/>
        <v>70462.600000000006</v>
      </c>
    </row>
    <row r="8" spans="1:19" x14ac:dyDescent="0.25">
      <c r="A8" s="9" t="s">
        <v>4</v>
      </c>
      <c r="B8" s="5">
        <v>13.19</v>
      </c>
      <c r="C8" s="40">
        <v>1</v>
      </c>
      <c r="D8" s="5">
        <v>0</v>
      </c>
      <c r="E8" s="5">
        <f>B8*C8*12</f>
        <v>158.28</v>
      </c>
      <c r="F8" s="18" t="s">
        <v>12</v>
      </c>
      <c r="G8" s="35" t="s">
        <v>51</v>
      </c>
      <c r="H8" s="5">
        <v>0</v>
      </c>
      <c r="J8" s="74" t="s">
        <v>16</v>
      </c>
      <c r="K8" s="74"/>
      <c r="L8" s="74"/>
      <c r="M8" s="74"/>
      <c r="N8" s="11">
        <f>SUM(N4:N7)</f>
        <v>207950.6</v>
      </c>
    </row>
    <row r="9" spans="1:19" x14ac:dyDescent="0.25">
      <c r="A9" s="10" t="s">
        <v>8</v>
      </c>
      <c r="B9" s="7">
        <v>0</v>
      </c>
      <c r="C9" s="44">
        <v>1</v>
      </c>
      <c r="D9" s="7">
        <v>0</v>
      </c>
      <c r="E9" s="7">
        <f>B9*C9*12</f>
        <v>0</v>
      </c>
      <c r="F9" s="19" t="s">
        <v>12</v>
      </c>
      <c r="G9" s="36">
        <v>4</v>
      </c>
      <c r="H9" s="7">
        <f t="shared" ref="H9:H13" si="2">E9*0.3333*0.25</f>
        <v>0</v>
      </c>
      <c r="L9" s="1"/>
    </row>
    <row r="10" spans="1:19" x14ac:dyDescent="0.25">
      <c r="A10" s="9" t="s">
        <v>7</v>
      </c>
      <c r="B10" s="5">
        <v>0</v>
      </c>
      <c r="C10" s="40">
        <v>1</v>
      </c>
      <c r="D10" s="5">
        <v>0</v>
      </c>
      <c r="E10" s="5">
        <f>B10*C10*12</f>
        <v>0</v>
      </c>
      <c r="F10" s="18" t="s">
        <v>12</v>
      </c>
      <c r="G10" s="35">
        <v>4</v>
      </c>
      <c r="H10" s="5">
        <f t="shared" si="2"/>
        <v>0</v>
      </c>
      <c r="J10" s="8" t="s">
        <v>22</v>
      </c>
      <c r="K10" s="3" t="s">
        <v>16</v>
      </c>
      <c r="L10" s="3" t="s">
        <v>23</v>
      </c>
      <c r="M10" s="3" t="s">
        <v>24</v>
      </c>
      <c r="N10" s="3" t="s">
        <v>25</v>
      </c>
      <c r="O10" s="3" t="s">
        <v>26</v>
      </c>
      <c r="R10" s="8" t="s">
        <v>54</v>
      </c>
      <c r="S10" s="3" t="s">
        <v>55</v>
      </c>
    </row>
    <row r="11" spans="1:19" x14ac:dyDescent="0.25">
      <c r="A11" s="10" t="s">
        <v>9</v>
      </c>
      <c r="B11" s="7">
        <v>0</v>
      </c>
      <c r="C11" s="44">
        <v>1</v>
      </c>
      <c r="D11" s="7">
        <v>0</v>
      </c>
      <c r="E11" s="7">
        <f>B11*C11*12</f>
        <v>0</v>
      </c>
      <c r="F11" s="19" t="s">
        <v>12</v>
      </c>
      <c r="G11" s="36">
        <v>4</v>
      </c>
      <c r="H11" s="7">
        <f t="shared" si="2"/>
        <v>0</v>
      </c>
      <c r="J11" s="9" t="s">
        <v>17</v>
      </c>
      <c r="K11" s="5">
        <f>N4</f>
        <v>59490</v>
      </c>
      <c r="L11" s="14">
        <v>0.65</v>
      </c>
      <c r="M11" s="5">
        <f>K11*L11</f>
        <v>38668.5</v>
      </c>
      <c r="N11" s="14">
        <f>100%-L11</f>
        <v>0.35</v>
      </c>
      <c r="O11" s="5">
        <f>K11*N11</f>
        <v>20821.5</v>
      </c>
      <c r="P11" s="1"/>
      <c r="R11" s="9" t="s">
        <v>56</v>
      </c>
      <c r="S11" s="5">
        <f>M15</f>
        <v>122959.22</v>
      </c>
    </row>
    <row r="12" spans="1:19" x14ac:dyDescent="0.25">
      <c r="A12" s="9" t="s">
        <v>10</v>
      </c>
      <c r="B12" s="5">
        <v>0</v>
      </c>
      <c r="C12" s="40">
        <v>1</v>
      </c>
      <c r="D12" s="5">
        <v>0</v>
      </c>
      <c r="E12" s="5">
        <v>0</v>
      </c>
      <c r="F12" s="18" t="s">
        <v>52</v>
      </c>
      <c r="G12" s="35">
        <v>4</v>
      </c>
      <c r="H12" s="5">
        <f t="shared" si="2"/>
        <v>0</v>
      </c>
      <c r="J12" s="10" t="s">
        <v>18</v>
      </c>
      <c r="K12" s="7">
        <f t="shared" ref="K12:K13" si="3">N5</f>
        <v>46270</v>
      </c>
      <c r="L12" s="15">
        <v>0.9</v>
      </c>
      <c r="M12" s="7">
        <f t="shared" ref="M12:M14" si="4">K12*L12</f>
        <v>41643</v>
      </c>
      <c r="N12" s="15">
        <f>100%-L12</f>
        <v>9.9999999999999978E-2</v>
      </c>
      <c r="O12" s="7">
        <f>K12*N12</f>
        <v>4626.9999999999991</v>
      </c>
      <c r="R12" s="10" t="s">
        <v>57</v>
      </c>
      <c r="S12" s="7">
        <f>O15+C33+E15</f>
        <v>107184.13500000001</v>
      </c>
    </row>
    <row r="13" spans="1:19" x14ac:dyDescent="0.25">
      <c r="A13" s="10" t="s">
        <v>13</v>
      </c>
      <c r="B13" s="7">
        <v>0</v>
      </c>
      <c r="C13" s="44">
        <v>1</v>
      </c>
      <c r="D13" s="7">
        <v>0</v>
      </c>
      <c r="E13" s="7">
        <v>0</v>
      </c>
      <c r="F13" s="19" t="s">
        <v>12</v>
      </c>
      <c r="G13" s="36">
        <v>4</v>
      </c>
      <c r="H13" s="7">
        <f t="shared" si="2"/>
        <v>0</v>
      </c>
      <c r="J13" s="9" t="s">
        <v>19</v>
      </c>
      <c r="K13" s="5">
        <f t="shared" si="3"/>
        <v>31728</v>
      </c>
      <c r="L13" s="14">
        <v>0.9</v>
      </c>
      <c r="M13" s="5">
        <f t="shared" si="4"/>
        <v>28555.200000000001</v>
      </c>
      <c r="N13" s="14">
        <f>100%-L13</f>
        <v>9.9999999999999978E-2</v>
      </c>
      <c r="O13" s="5">
        <f>K13*N13</f>
        <v>3172.7999999999993</v>
      </c>
      <c r="R13" s="9" t="s">
        <v>58</v>
      </c>
      <c r="S13" s="5">
        <f>S11+S12</f>
        <v>230143.35500000001</v>
      </c>
    </row>
    <row r="14" spans="1:19" ht="15.75" thickBot="1" x14ac:dyDescent="0.3">
      <c r="A14" s="9" t="s">
        <v>21</v>
      </c>
      <c r="B14" s="5">
        <f>1599*C14</f>
        <v>3198</v>
      </c>
      <c r="C14" s="40">
        <v>2</v>
      </c>
      <c r="D14" s="5">
        <v>100</v>
      </c>
      <c r="E14" s="5">
        <f>(B14+(D14*C14))/G14</f>
        <v>849.5</v>
      </c>
      <c r="F14" s="18" t="s">
        <v>52</v>
      </c>
      <c r="G14" s="35">
        <v>4</v>
      </c>
      <c r="H14" s="5">
        <f>(B14+(D14*C14))*0.25*0.3333</f>
        <v>283.13835</v>
      </c>
      <c r="J14" s="10" t="s">
        <v>20</v>
      </c>
      <c r="K14" s="7">
        <f>N7</f>
        <v>70462.600000000006</v>
      </c>
      <c r="L14" s="15">
        <v>0.2</v>
      </c>
      <c r="M14" s="16">
        <f t="shared" si="4"/>
        <v>14092.520000000002</v>
      </c>
      <c r="N14" s="29">
        <f>100%-L14</f>
        <v>0.8</v>
      </c>
      <c r="O14" s="16">
        <f>K14*N14</f>
        <v>56370.080000000009</v>
      </c>
      <c r="R14" s="10" t="s">
        <v>59</v>
      </c>
      <c r="S14" s="7">
        <f>0.25*S13</f>
        <v>57535.838750000003</v>
      </c>
    </row>
    <row r="15" spans="1:19" ht="15.75" thickBot="1" x14ac:dyDescent="0.3">
      <c r="A15" s="74" t="s">
        <v>16</v>
      </c>
      <c r="B15" s="74"/>
      <c r="C15" s="74"/>
      <c r="D15" s="74"/>
      <c r="E15" s="47">
        <f>SUM(E4:E14)</f>
        <v>1502.7550000000001</v>
      </c>
      <c r="F15" s="12"/>
      <c r="H15" s="1"/>
      <c r="J15" s="71" t="s">
        <v>16</v>
      </c>
      <c r="K15" s="72"/>
      <c r="L15" s="72"/>
      <c r="M15" s="17">
        <f>SUM(M11:M14)</f>
        <v>122959.22</v>
      </c>
      <c r="N15" s="30"/>
      <c r="O15" s="17">
        <f>SUM(O11:O14)</f>
        <v>84991.38</v>
      </c>
      <c r="R15" s="9" t="s">
        <v>60</v>
      </c>
      <c r="S15" s="5">
        <f>S14+S13</f>
        <v>287679.19375000003</v>
      </c>
    </row>
    <row r="16" spans="1:19" x14ac:dyDescent="0.25">
      <c r="G16" s="1"/>
      <c r="R16" s="10" t="s">
        <v>61</v>
      </c>
      <c r="S16" s="7">
        <f>M22</f>
        <v>287679.19375000003</v>
      </c>
    </row>
    <row r="17" spans="1:19" x14ac:dyDescent="0.25">
      <c r="G17" s="1"/>
      <c r="J17" s="8" t="s">
        <v>22</v>
      </c>
      <c r="K17" s="3" t="s">
        <v>27</v>
      </c>
      <c r="L17" s="3" t="s">
        <v>28</v>
      </c>
      <c r="M17" s="3" t="s">
        <v>29</v>
      </c>
      <c r="N17" s="3" t="s">
        <v>30</v>
      </c>
      <c r="R17" s="9" t="s">
        <v>64</v>
      </c>
      <c r="S17" s="5">
        <f>((S16-S15)/S15)*100</f>
        <v>0</v>
      </c>
    </row>
    <row r="18" spans="1:19" x14ac:dyDescent="0.25">
      <c r="A18" s="8" t="s">
        <v>31</v>
      </c>
      <c r="B18" s="8" t="s">
        <v>32</v>
      </c>
      <c r="C18" s="8" t="s">
        <v>33</v>
      </c>
      <c r="H18">
        <v>1750</v>
      </c>
      <c r="J18" s="9" t="s">
        <v>17</v>
      </c>
      <c r="K18" s="26">
        <f>H18*L11</f>
        <v>1137.5</v>
      </c>
      <c r="L18" s="22">
        <f>N18*1.25</f>
        <v>71.383459568733159</v>
      </c>
      <c r="M18" s="22">
        <f>L18*K18</f>
        <v>81198.685259433973</v>
      </c>
      <c r="N18" s="22">
        <f>(M4/H18)+N$25</f>
        <v>57.106767654986527</v>
      </c>
    </row>
    <row r="19" spans="1:19" x14ac:dyDescent="0.25">
      <c r="A19" s="9" t="s">
        <v>34</v>
      </c>
      <c r="B19" s="24">
        <v>120</v>
      </c>
      <c r="C19" s="24">
        <v>1440</v>
      </c>
      <c r="H19">
        <v>1750</v>
      </c>
      <c r="J19" s="10" t="s">
        <v>18</v>
      </c>
      <c r="K19" s="27">
        <f>H19*L12</f>
        <v>1575</v>
      </c>
      <c r="L19" s="23">
        <f t="shared" ref="L19:L21" si="5">N19*1.25</f>
        <v>61.940602425876023</v>
      </c>
      <c r="M19" s="23">
        <f t="shared" ref="M19:M21" si="6">L19*K19</f>
        <v>97556.44882075474</v>
      </c>
      <c r="N19" s="23">
        <f t="shared" ref="N19:N21" si="7">(M5/H19)+N$25</f>
        <v>49.552481940700815</v>
      </c>
    </row>
    <row r="20" spans="1:19" x14ac:dyDescent="0.25">
      <c r="A20" s="10" t="s">
        <v>35</v>
      </c>
      <c r="B20" s="25">
        <v>650</v>
      </c>
      <c r="C20" s="25">
        <f>B20*12</f>
        <v>7800</v>
      </c>
      <c r="H20">
        <v>1750</v>
      </c>
      <c r="J20" s="9" t="s">
        <v>19</v>
      </c>
      <c r="K20" s="26">
        <f>H20*L13</f>
        <v>1575</v>
      </c>
      <c r="L20" s="22">
        <f t="shared" si="5"/>
        <v>51.553459568733153</v>
      </c>
      <c r="M20" s="22">
        <f t="shared" si="6"/>
        <v>81196.698820754711</v>
      </c>
      <c r="N20" s="22">
        <f t="shared" si="7"/>
        <v>41.242767654986523</v>
      </c>
    </row>
    <row r="21" spans="1:19" ht="15.75" thickBot="1" x14ac:dyDescent="0.3">
      <c r="A21" s="9" t="s">
        <v>46</v>
      </c>
      <c r="B21" s="24">
        <v>60</v>
      </c>
      <c r="C21" s="24">
        <f>B21*12</f>
        <v>720</v>
      </c>
      <c r="H21">
        <v>1750</v>
      </c>
      <c r="J21" s="10" t="s">
        <v>20</v>
      </c>
      <c r="K21" s="50">
        <f>H21*L14</f>
        <v>350</v>
      </c>
      <c r="L21" s="28">
        <f t="shared" si="5"/>
        <v>79.221030997304581</v>
      </c>
      <c r="M21" s="28">
        <f t="shared" si="6"/>
        <v>27727.360849056604</v>
      </c>
      <c r="N21" s="23">
        <f t="shared" si="7"/>
        <v>63.376824797843668</v>
      </c>
    </row>
    <row r="22" spans="1:19" ht="15.75" thickBot="1" x14ac:dyDescent="0.3">
      <c r="A22" s="10" t="s">
        <v>39</v>
      </c>
      <c r="B22" s="25">
        <v>95</v>
      </c>
      <c r="C22" s="25">
        <f>B22*12</f>
        <v>1140</v>
      </c>
      <c r="J22" s="20" t="s">
        <v>16</v>
      </c>
      <c r="K22" s="51">
        <f>SUM(K18:K21)</f>
        <v>4637.5</v>
      </c>
      <c r="L22" s="21"/>
      <c r="M22" s="17">
        <f>SUM(M18:M21)</f>
        <v>287679.19375000003</v>
      </c>
      <c r="N22" s="2"/>
    </row>
    <row r="23" spans="1:19" x14ac:dyDescent="0.25">
      <c r="A23" s="9" t="s">
        <v>38</v>
      </c>
      <c r="B23" s="24">
        <v>20</v>
      </c>
      <c r="C23" s="24">
        <v>240</v>
      </c>
    </row>
    <row r="24" spans="1:19" ht="14.25" customHeight="1" x14ac:dyDescent="0.25">
      <c r="A24" s="10" t="s">
        <v>45</v>
      </c>
      <c r="B24" s="25">
        <v>0</v>
      </c>
      <c r="C24" s="25">
        <v>150</v>
      </c>
    </row>
    <row r="25" spans="1:19" ht="15.75" customHeight="1" x14ac:dyDescent="0.25">
      <c r="A25" s="9" t="s">
        <v>36</v>
      </c>
      <c r="B25" s="24">
        <v>200</v>
      </c>
      <c r="C25" s="24">
        <v>2400</v>
      </c>
      <c r="M25" t="s">
        <v>63</v>
      </c>
      <c r="N25" s="1">
        <f>S12/K22</f>
        <v>23.11248194070081</v>
      </c>
    </row>
    <row r="26" spans="1:19" x14ac:dyDescent="0.25">
      <c r="A26" s="10" t="s">
        <v>37</v>
      </c>
      <c r="B26" s="25">
        <v>125</v>
      </c>
      <c r="C26" s="25">
        <v>1500</v>
      </c>
    </row>
    <row r="27" spans="1:19" x14ac:dyDescent="0.25">
      <c r="A27" s="9" t="s">
        <v>40</v>
      </c>
      <c r="B27" s="24">
        <v>70</v>
      </c>
      <c r="C27" s="24">
        <v>840</v>
      </c>
    </row>
    <row r="28" spans="1:19" x14ac:dyDescent="0.25">
      <c r="A28" s="10" t="s">
        <v>41</v>
      </c>
      <c r="B28" s="25">
        <v>160</v>
      </c>
      <c r="C28" s="25">
        <v>1920</v>
      </c>
    </row>
    <row r="29" spans="1:19" x14ac:dyDescent="0.25">
      <c r="A29" s="10" t="s">
        <v>42</v>
      </c>
      <c r="B29" s="25">
        <v>0</v>
      </c>
      <c r="C29" s="25">
        <v>500</v>
      </c>
    </row>
    <row r="30" spans="1:19" x14ac:dyDescent="0.25">
      <c r="A30" s="9" t="s">
        <v>43</v>
      </c>
      <c r="B30" s="24">
        <v>25</v>
      </c>
      <c r="C30" s="24">
        <v>300</v>
      </c>
    </row>
    <row r="31" spans="1:19" x14ac:dyDescent="0.25">
      <c r="A31" s="10" t="s">
        <v>44</v>
      </c>
      <c r="B31" s="25">
        <v>45</v>
      </c>
      <c r="C31" s="25">
        <v>540</v>
      </c>
    </row>
    <row r="32" spans="1:19" x14ac:dyDescent="0.25">
      <c r="A32" s="33" t="s">
        <v>47</v>
      </c>
      <c r="B32" s="32">
        <v>100</v>
      </c>
      <c r="C32" s="32">
        <f>B32*12</f>
        <v>1200</v>
      </c>
    </row>
    <row r="33" spans="1:3" x14ac:dyDescent="0.25">
      <c r="A33" s="31" t="s">
        <v>16</v>
      </c>
      <c r="B33" s="31">
        <f>SUM(B19:B32)</f>
        <v>1670</v>
      </c>
      <c r="C33" s="34">
        <f>SUM(C19:C32)</f>
        <v>20690</v>
      </c>
    </row>
  </sheetData>
  <mergeCells count="3">
    <mergeCell ref="J8:M8"/>
    <mergeCell ref="J15:L15"/>
    <mergeCell ref="A15:D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39845-83DD-446A-82A9-487B928930E4}">
  <dimension ref="B1:O121"/>
  <sheetViews>
    <sheetView tabSelected="1" workbookViewId="0">
      <selection activeCell="N4" sqref="N4:N12"/>
    </sheetView>
  </sheetViews>
  <sheetFormatPr defaultRowHeight="15" x14ac:dyDescent="0.25"/>
  <cols>
    <col min="2" max="4" width="9.140625" style="53"/>
    <col min="5" max="5" width="39" style="54" customWidth="1"/>
    <col min="6" max="6" width="16.140625" style="52" customWidth="1"/>
    <col min="8" max="8" width="12" bestFit="1" customWidth="1"/>
    <col min="9" max="9" width="14.5703125" customWidth="1"/>
    <col min="10" max="10" width="12.140625" customWidth="1"/>
    <col min="13" max="13" width="50.140625" customWidth="1"/>
    <col min="14" max="14" width="21" customWidth="1"/>
    <col min="15" max="15" width="14" customWidth="1"/>
  </cols>
  <sheetData>
    <row r="1" spans="2:15" x14ac:dyDescent="0.25">
      <c r="E1"/>
    </row>
    <row r="2" spans="2:15" x14ac:dyDescent="0.25">
      <c r="E2"/>
    </row>
    <row r="3" spans="2:15" x14ac:dyDescent="0.25">
      <c r="B3" s="8" t="s">
        <v>65</v>
      </c>
      <c r="C3" s="8" t="s">
        <v>66</v>
      </c>
      <c r="D3" s="8" t="s">
        <v>67</v>
      </c>
      <c r="E3" s="8" t="s">
        <v>68</v>
      </c>
      <c r="F3" s="8" t="s">
        <v>5</v>
      </c>
      <c r="G3" s="8" t="s">
        <v>69</v>
      </c>
      <c r="H3" s="8" t="s">
        <v>49</v>
      </c>
      <c r="I3" s="8" t="s">
        <v>136</v>
      </c>
      <c r="J3" s="8" t="s">
        <v>16</v>
      </c>
      <c r="M3" s="8" t="s">
        <v>137</v>
      </c>
      <c r="N3" s="8" t="s">
        <v>55</v>
      </c>
    </row>
    <row r="4" spans="2:15" x14ac:dyDescent="0.25">
      <c r="B4" s="61" t="s">
        <v>79</v>
      </c>
      <c r="C4" s="61"/>
      <c r="D4" s="61"/>
      <c r="E4" s="62" t="s">
        <v>70</v>
      </c>
      <c r="F4" s="63">
        <v>106</v>
      </c>
      <c r="G4" s="64" t="s">
        <v>74</v>
      </c>
      <c r="H4" s="65"/>
      <c r="I4" s="64"/>
      <c r="J4" s="60">
        <f>SUM(I5:I28)</f>
        <v>5421.7790857142863</v>
      </c>
      <c r="M4" s="68" t="str">
        <f>E4</f>
        <v>Sprint 1: Analysis and planning</v>
      </c>
      <c r="N4" s="75">
        <f>J4*1.25</f>
        <v>6777.2238571428579</v>
      </c>
      <c r="O4" s="81"/>
    </row>
    <row r="5" spans="2:15" x14ac:dyDescent="0.25">
      <c r="B5" s="56"/>
      <c r="C5" s="56" t="s">
        <v>120</v>
      </c>
      <c r="D5" s="56"/>
      <c r="E5" s="55" t="s">
        <v>82</v>
      </c>
      <c r="F5" s="4">
        <v>8</v>
      </c>
      <c r="G5" s="54" t="s">
        <v>74</v>
      </c>
      <c r="H5" s="57"/>
      <c r="I5" s="58">
        <f>H6*F5</f>
        <v>456.85414123989221</v>
      </c>
      <c r="J5" s="54"/>
      <c r="M5" s="79" t="str">
        <f>E29</f>
        <v>Sprint 2: System design</v>
      </c>
      <c r="N5" s="82">
        <f>J29*1.25</f>
        <v>5309.7035384097035</v>
      </c>
      <c r="O5" s="81"/>
    </row>
    <row r="6" spans="2:15" x14ac:dyDescent="0.25">
      <c r="B6" s="66"/>
      <c r="C6" s="66"/>
      <c r="D6" s="66" t="s">
        <v>79</v>
      </c>
      <c r="E6" s="67" t="s">
        <v>17</v>
      </c>
      <c r="F6" s="6"/>
      <c r="G6" s="68" t="s">
        <v>74</v>
      </c>
      <c r="H6" s="69">
        <f>'Company Definition'!N$18</f>
        <v>57.106767654986527</v>
      </c>
      <c r="I6" s="68"/>
      <c r="J6" s="68"/>
      <c r="M6" s="68" t="str">
        <f>E46</f>
        <v>Sprint 3: Backend &amp; pipeline development</v>
      </c>
      <c r="N6" s="75">
        <f>J46*1.25</f>
        <v>4095.7911199460923</v>
      </c>
      <c r="O6" s="81"/>
    </row>
    <row r="7" spans="2:15" x14ac:dyDescent="0.25">
      <c r="B7" s="56"/>
      <c r="C7" s="56" t="s">
        <v>121</v>
      </c>
      <c r="D7" s="56"/>
      <c r="E7" s="55" t="s">
        <v>84</v>
      </c>
      <c r="F7" s="4">
        <v>8</v>
      </c>
      <c r="G7" s="54" t="s">
        <v>74</v>
      </c>
      <c r="H7" s="57"/>
      <c r="I7" s="58">
        <f>H8*F7</f>
        <v>456.85414123989221</v>
      </c>
      <c r="J7" s="54"/>
      <c r="M7" s="79" t="str">
        <f>E59</f>
        <v>Sprint 4: Full NLP pipeline implementation</v>
      </c>
      <c r="N7" s="82">
        <f>J59*1.25</f>
        <v>4622.4773679245291</v>
      </c>
      <c r="O7" s="81"/>
    </row>
    <row r="8" spans="2:15" x14ac:dyDescent="0.25">
      <c r="B8" s="66"/>
      <c r="C8" s="66"/>
      <c r="D8" s="66" t="s">
        <v>79</v>
      </c>
      <c r="E8" s="67" t="s">
        <v>17</v>
      </c>
      <c r="F8" s="6"/>
      <c r="G8" s="68" t="s">
        <v>74</v>
      </c>
      <c r="H8" s="69">
        <f>'Company Definition'!N$18</f>
        <v>57.106767654986527</v>
      </c>
      <c r="I8" s="68"/>
      <c r="J8" s="68"/>
      <c r="M8" s="68" t="str">
        <f>E76</f>
        <v>Sprint 5: Data visualizations and web application aspects</v>
      </c>
      <c r="N8" s="75">
        <f>J76*1.25</f>
        <v>3918.0629272237193</v>
      </c>
      <c r="O8" s="81"/>
    </row>
    <row r="9" spans="2:15" ht="30" x14ac:dyDescent="0.25">
      <c r="B9" s="56"/>
      <c r="C9" s="56" t="s">
        <v>122</v>
      </c>
      <c r="D9" s="56"/>
      <c r="E9" s="55" t="s">
        <v>85</v>
      </c>
      <c r="F9" s="4">
        <v>10</v>
      </c>
      <c r="G9" s="54" t="s">
        <v>74</v>
      </c>
      <c r="H9" s="57"/>
      <c r="I9" s="58">
        <f>H10*F9</f>
        <v>571.06767654986527</v>
      </c>
      <c r="J9" s="54"/>
      <c r="M9" s="79" t="str">
        <f>E89</f>
        <v>Sprint 6: Final documentation &amp; product refinements</v>
      </c>
      <c r="N9" s="82">
        <f>J89*1.25</f>
        <v>2216.7987614555254</v>
      </c>
      <c r="O9" s="81"/>
    </row>
    <row r="10" spans="2:15" x14ac:dyDescent="0.25">
      <c r="B10" s="66"/>
      <c r="C10" s="66"/>
      <c r="D10" s="66" t="s">
        <v>79</v>
      </c>
      <c r="E10" s="67" t="s">
        <v>17</v>
      </c>
      <c r="F10" s="6"/>
      <c r="G10" s="68" t="s">
        <v>74</v>
      </c>
      <c r="H10" s="69">
        <f>'Company Definition'!N$18</f>
        <v>57.106767654986527</v>
      </c>
      <c r="I10" s="68"/>
      <c r="J10" s="68"/>
      <c r="M10" s="68" t="s">
        <v>156</v>
      </c>
      <c r="N10" s="75">
        <f>J96*1.25</f>
        <v>4425.7290889487876</v>
      </c>
      <c r="O10" s="81"/>
    </row>
    <row r="11" spans="2:15" x14ac:dyDescent="0.25">
      <c r="B11" s="56"/>
      <c r="C11" s="56" t="s">
        <v>123</v>
      </c>
      <c r="D11" s="56"/>
      <c r="E11" s="55" t="s">
        <v>83</v>
      </c>
      <c r="F11" s="4">
        <v>10</v>
      </c>
      <c r="G11" s="54" t="s">
        <v>74</v>
      </c>
      <c r="H11" s="57"/>
      <c r="I11" s="58">
        <f>H12*F11</f>
        <v>571.06767654986527</v>
      </c>
      <c r="J11" s="54"/>
      <c r="M11" s="83" t="s">
        <v>136</v>
      </c>
      <c r="N11" s="84">
        <f>SUM(N4:N10)</f>
        <v>31365.786661051214</v>
      </c>
    </row>
    <row r="12" spans="2:15" x14ac:dyDescent="0.25">
      <c r="B12" s="66"/>
      <c r="C12" s="66"/>
      <c r="D12" s="66" t="s">
        <v>79</v>
      </c>
      <c r="E12" s="67" t="s">
        <v>17</v>
      </c>
      <c r="F12" s="6"/>
      <c r="G12" s="68" t="s">
        <v>74</v>
      </c>
      <c r="H12" s="69">
        <f>'Company Definition'!N$18</f>
        <v>57.106767654986527</v>
      </c>
      <c r="I12" s="68"/>
      <c r="J12" s="68"/>
      <c r="M12" s="85" t="s">
        <v>157</v>
      </c>
      <c r="N12" s="86">
        <f>N11*0.21</f>
        <v>6586.8151988207546</v>
      </c>
    </row>
    <row r="13" spans="2:15" x14ac:dyDescent="0.25">
      <c r="B13" s="56"/>
      <c r="C13" s="56" t="s">
        <v>124</v>
      </c>
      <c r="D13" s="56"/>
      <c r="E13" s="55" t="s">
        <v>86</v>
      </c>
      <c r="F13" s="4">
        <v>10</v>
      </c>
      <c r="G13" s="54" t="s">
        <v>74</v>
      </c>
      <c r="H13" s="57"/>
      <c r="I13" s="58">
        <f>H14*F13</f>
        <v>571.06767654986527</v>
      </c>
      <c r="J13" s="54"/>
      <c r="M13" s="87" t="s">
        <v>158</v>
      </c>
      <c r="N13" s="88">
        <f>N11*1.21</f>
        <v>37952.601859871967</v>
      </c>
    </row>
    <row r="14" spans="2:15" ht="12" customHeight="1" x14ac:dyDescent="0.25">
      <c r="B14" s="66"/>
      <c r="C14" s="66"/>
      <c r="D14" s="66" t="s">
        <v>79</v>
      </c>
      <c r="E14" s="67" t="s">
        <v>17</v>
      </c>
      <c r="F14" s="6"/>
      <c r="G14" s="68" t="s">
        <v>74</v>
      </c>
      <c r="H14" s="69">
        <f>'Company Definition'!N$18</f>
        <v>57.106767654986527</v>
      </c>
      <c r="I14" s="68"/>
      <c r="J14" s="68"/>
      <c r="N14" s="81"/>
    </row>
    <row r="15" spans="2:15" ht="32.25" customHeight="1" x14ac:dyDescent="0.25">
      <c r="B15" s="56"/>
      <c r="C15" s="56" t="s">
        <v>129</v>
      </c>
      <c r="D15" s="56"/>
      <c r="E15" s="55" t="s">
        <v>87</v>
      </c>
      <c r="F15" s="4">
        <v>8</v>
      </c>
      <c r="G15" s="54" t="s">
        <v>74</v>
      </c>
      <c r="H15" s="57"/>
      <c r="I15" s="58">
        <f>H16*F15</f>
        <v>396.41985552560652</v>
      </c>
      <c r="J15" s="54"/>
    </row>
    <row r="16" spans="2:15" x14ac:dyDescent="0.25">
      <c r="B16" s="66"/>
      <c r="C16" s="66"/>
      <c r="D16" s="66" t="s">
        <v>79</v>
      </c>
      <c r="E16" s="67" t="s">
        <v>18</v>
      </c>
      <c r="F16" s="6"/>
      <c r="G16" s="68" t="s">
        <v>74</v>
      </c>
      <c r="H16" s="69">
        <f>'Company Definition'!N$19</f>
        <v>49.552481940700815</v>
      </c>
      <c r="I16" s="68"/>
      <c r="J16" s="68"/>
    </row>
    <row r="17" spans="2:10" ht="14.25" customHeight="1" x14ac:dyDescent="0.25">
      <c r="B17" s="56"/>
      <c r="C17" s="56" t="s">
        <v>130</v>
      </c>
      <c r="D17" s="56"/>
      <c r="E17" s="55" t="s">
        <v>88</v>
      </c>
      <c r="F17" s="4">
        <v>8</v>
      </c>
      <c r="G17" s="54" t="s">
        <v>74</v>
      </c>
      <c r="H17" s="57"/>
      <c r="I17" s="58">
        <f>H18*F17</f>
        <v>329.94214123989218</v>
      </c>
      <c r="J17" s="54"/>
    </row>
    <row r="18" spans="2:10" x14ac:dyDescent="0.25">
      <c r="B18" s="66"/>
      <c r="C18" s="66"/>
      <c r="D18" s="66" t="s">
        <v>79</v>
      </c>
      <c r="E18" s="67" t="s">
        <v>19</v>
      </c>
      <c r="F18" s="6"/>
      <c r="G18" s="68" t="s">
        <v>74</v>
      </c>
      <c r="H18" s="69">
        <f>'Company Definition'!N$20</f>
        <v>41.242767654986523</v>
      </c>
      <c r="I18" s="68"/>
      <c r="J18" s="68"/>
    </row>
    <row r="19" spans="2:10" x14ac:dyDescent="0.25">
      <c r="B19" s="56"/>
      <c r="C19" s="56" t="s">
        <v>131</v>
      </c>
      <c r="D19" s="56"/>
      <c r="E19" s="55" t="s">
        <v>89</v>
      </c>
      <c r="F19" s="4">
        <v>8</v>
      </c>
      <c r="G19" s="54" t="s">
        <v>74</v>
      </c>
      <c r="H19" s="57"/>
      <c r="I19" s="58">
        <f>H20*F19</f>
        <v>329.94214123989218</v>
      </c>
      <c r="J19" s="54"/>
    </row>
    <row r="20" spans="2:10" x14ac:dyDescent="0.25">
      <c r="B20" s="66"/>
      <c r="C20" s="66"/>
      <c r="D20" s="66" t="s">
        <v>79</v>
      </c>
      <c r="E20" s="67" t="s">
        <v>19</v>
      </c>
      <c r="F20" s="6"/>
      <c r="G20" s="68" t="s">
        <v>74</v>
      </c>
      <c r="H20" s="69">
        <f>'Company Definition'!N$20</f>
        <v>41.242767654986523</v>
      </c>
      <c r="I20" s="68"/>
      <c r="J20" s="68"/>
    </row>
    <row r="21" spans="2:10" x14ac:dyDescent="0.25">
      <c r="B21" s="56"/>
      <c r="C21" s="56" t="s">
        <v>132</v>
      </c>
      <c r="D21" s="56"/>
      <c r="E21" s="55" t="s">
        <v>90</v>
      </c>
      <c r="F21" s="4">
        <v>8</v>
      </c>
      <c r="G21" s="54" t="s">
        <v>74</v>
      </c>
      <c r="H21" s="57"/>
      <c r="I21" s="58">
        <f>H22*F21</f>
        <v>456.85414123989221</v>
      </c>
      <c r="J21" s="54"/>
    </row>
    <row r="22" spans="2:10" x14ac:dyDescent="0.25">
      <c r="B22" s="66"/>
      <c r="C22" s="66"/>
      <c r="D22" s="66" t="s">
        <v>79</v>
      </c>
      <c r="E22" s="67" t="s">
        <v>17</v>
      </c>
      <c r="F22" s="6"/>
      <c r="G22" s="68" t="s">
        <v>74</v>
      </c>
      <c r="H22" s="69">
        <f>'Company Definition'!N$18</f>
        <v>57.106767654986527</v>
      </c>
      <c r="I22" s="68"/>
      <c r="J22" s="68"/>
    </row>
    <row r="23" spans="2:10" x14ac:dyDescent="0.25">
      <c r="B23" s="56"/>
      <c r="C23" s="56" t="s">
        <v>133</v>
      </c>
      <c r="D23" s="56"/>
      <c r="E23" s="55" t="s">
        <v>91</v>
      </c>
      <c r="F23" s="4">
        <v>8</v>
      </c>
      <c r="G23" s="54" t="s">
        <v>74</v>
      </c>
      <c r="H23" s="57"/>
      <c r="I23" s="58">
        <f t="shared" ref="I23" si="0">H24*F23</f>
        <v>456.85414123989221</v>
      </c>
      <c r="J23" s="54"/>
    </row>
    <row r="24" spans="2:10" x14ac:dyDescent="0.25">
      <c r="B24" s="66"/>
      <c r="C24" s="66"/>
      <c r="D24" s="66" t="s">
        <v>79</v>
      </c>
      <c r="E24" s="67" t="s">
        <v>17</v>
      </c>
      <c r="F24" s="6"/>
      <c r="G24" s="68" t="s">
        <v>74</v>
      </c>
      <c r="H24" s="69">
        <f>'Company Definition'!N$18</f>
        <v>57.106767654986527</v>
      </c>
      <c r="I24" s="68"/>
      <c r="J24" s="68"/>
    </row>
    <row r="25" spans="2:10" x14ac:dyDescent="0.25">
      <c r="B25" s="56"/>
      <c r="C25" s="56" t="s">
        <v>134</v>
      </c>
      <c r="D25" s="56"/>
      <c r="E25" s="55" t="s">
        <v>92</v>
      </c>
      <c r="F25" s="4">
        <v>8</v>
      </c>
      <c r="G25" s="54" t="s">
        <v>74</v>
      </c>
      <c r="H25" s="57"/>
      <c r="I25" s="58">
        <f t="shared" ref="I25" si="1">H26*F25</f>
        <v>329.94214123989218</v>
      </c>
      <c r="J25" s="54"/>
    </row>
    <row r="26" spans="2:10" x14ac:dyDescent="0.25">
      <c r="B26" s="66"/>
      <c r="C26" s="66"/>
      <c r="D26" s="66" t="s">
        <v>79</v>
      </c>
      <c r="E26" s="67" t="s">
        <v>19</v>
      </c>
      <c r="F26" s="6"/>
      <c r="G26" s="68" t="s">
        <v>74</v>
      </c>
      <c r="H26" s="69">
        <f>'Company Definition'!N$20</f>
        <v>41.242767654986523</v>
      </c>
      <c r="I26" s="68"/>
      <c r="J26" s="68"/>
    </row>
    <row r="27" spans="2:10" x14ac:dyDescent="0.25">
      <c r="B27" s="56"/>
      <c r="C27" s="56" t="s">
        <v>135</v>
      </c>
      <c r="D27" s="56"/>
      <c r="E27" s="55" t="s">
        <v>93</v>
      </c>
      <c r="F27" s="4">
        <v>12</v>
      </c>
      <c r="G27" s="54" t="s">
        <v>74</v>
      </c>
      <c r="H27" s="57"/>
      <c r="I27" s="58">
        <f t="shared" ref="I27" si="2">H28*F27</f>
        <v>494.91321185983827</v>
      </c>
      <c r="J27" s="54"/>
    </row>
    <row r="28" spans="2:10" x14ac:dyDescent="0.25">
      <c r="B28" s="66"/>
      <c r="C28" s="66"/>
      <c r="D28" s="66" t="s">
        <v>79</v>
      </c>
      <c r="E28" s="67" t="s">
        <v>19</v>
      </c>
      <c r="F28" s="6"/>
      <c r="G28" s="68" t="s">
        <v>74</v>
      </c>
      <c r="H28" s="69">
        <f>'Company Definition'!N$20</f>
        <v>41.242767654986523</v>
      </c>
      <c r="I28" s="68"/>
      <c r="J28" s="68"/>
    </row>
    <row r="29" spans="2:10" x14ac:dyDescent="0.25">
      <c r="B29" s="61" t="s">
        <v>80</v>
      </c>
      <c r="C29" s="61"/>
      <c r="D29" s="61"/>
      <c r="E29" s="62" t="s">
        <v>71</v>
      </c>
      <c r="F29" s="63">
        <v>84</v>
      </c>
      <c r="G29" s="64" t="s">
        <v>74</v>
      </c>
      <c r="H29" s="65"/>
      <c r="I29" s="64"/>
      <c r="J29" s="60">
        <f>SUM(I30:I45)</f>
        <v>4247.7628307277628</v>
      </c>
    </row>
    <row r="30" spans="2:10" x14ac:dyDescent="0.25">
      <c r="B30" s="56"/>
      <c r="C30" s="56" t="s">
        <v>120</v>
      </c>
      <c r="D30" s="56"/>
      <c r="E30" s="55" t="s">
        <v>94</v>
      </c>
      <c r="F30" s="4">
        <v>8</v>
      </c>
      <c r="G30" s="54" t="s">
        <v>74</v>
      </c>
      <c r="H30" s="57"/>
      <c r="I30" s="58">
        <f>H31*F30</f>
        <v>396.41985552560652</v>
      </c>
      <c r="J30" s="54"/>
    </row>
    <row r="31" spans="2:10" x14ac:dyDescent="0.25">
      <c r="B31" s="66"/>
      <c r="C31" s="66"/>
      <c r="D31" s="66" t="s">
        <v>79</v>
      </c>
      <c r="E31" s="67" t="s">
        <v>18</v>
      </c>
      <c r="F31" s="6"/>
      <c r="G31" s="68" t="s">
        <v>74</v>
      </c>
      <c r="H31" s="69">
        <f>'Company Definition'!N$19</f>
        <v>49.552481940700815</v>
      </c>
      <c r="I31" s="68"/>
      <c r="J31" s="68"/>
    </row>
    <row r="32" spans="2:10" x14ac:dyDescent="0.25">
      <c r="B32" s="56"/>
      <c r="C32" s="56" t="s">
        <v>121</v>
      </c>
      <c r="D32" s="56"/>
      <c r="E32" s="55" t="s">
        <v>95</v>
      </c>
      <c r="F32" s="4">
        <v>10</v>
      </c>
      <c r="G32" s="54" t="s">
        <v>74</v>
      </c>
      <c r="H32" s="57"/>
      <c r="I32" s="58">
        <f t="shared" ref="I32" si="3">H33*F32</f>
        <v>571.06767654986527</v>
      </c>
      <c r="J32" s="54"/>
    </row>
    <row r="33" spans="2:10" x14ac:dyDescent="0.25">
      <c r="B33" s="66"/>
      <c r="C33" s="66"/>
      <c r="D33" s="66" t="s">
        <v>79</v>
      </c>
      <c r="E33" s="67" t="s">
        <v>17</v>
      </c>
      <c r="F33" s="6"/>
      <c r="G33" s="68" t="s">
        <v>74</v>
      </c>
      <c r="H33" s="69">
        <f>'Company Definition'!N$18</f>
        <v>57.106767654986527</v>
      </c>
      <c r="I33" s="68"/>
      <c r="J33" s="68"/>
    </row>
    <row r="34" spans="2:10" x14ac:dyDescent="0.25">
      <c r="B34" s="56"/>
      <c r="C34" s="56" t="s">
        <v>122</v>
      </c>
      <c r="D34" s="56"/>
      <c r="E34" s="55" t="s">
        <v>96</v>
      </c>
      <c r="F34" s="4">
        <v>12</v>
      </c>
      <c r="G34" s="54" t="s">
        <v>74</v>
      </c>
      <c r="H34" s="57"/>
      <c r="I34" s="58">
        <f t="shared" ref="I34" si="4">H35*F34</f>
        <v>685.28121185983832</v>
      </c>
      <c r="J34" s="54"/>
    </row>
    <row r="35" spans="2:10" x14ac:dyDescent="0.25">
      <c r="B35" s="66"/>
      <c r="C35" s="56" t="s">
        <v>123</v>
      </c>
      <c r="D35" s="66" t="s">
        <v>79</v>
      </c>
      <c r="E35" s="67" t="s">
        <v>17</v>
      </c>
      <c r="F35" s="6"/>
      <c r="G35" s="68" t="s">
        <v>74</v>
      </c>
      <c r="H35" s="69">
        <f>'Company Definition'!N$18</f>
        <v>57.106767654986527</v>
      </c>
      <c r="I35" s="68"/>
      <c r="J35" s="68"/>
    </row>
    <row r="36" spans="2:10" x14ac:dyDescent="0.25">
      <c r="B36" s="56"/>
      <c r="C36" s="66"/>
      <c r="D36" s="56"/>
      <c r="E36" s="55" t="s">
        <v>97</v>
      </c>
      <c r="F36" s="4">
        <v>8</v>
      </c>
      <c r="G36" s="54" t="s">
        <v>74</v>
      </c>
      <c r="H36" s="57"/>
      <c r="I36" s="58">
        <f t="shared" ref="I36" si="5">H37*F36</f>
        <v>396.41985552560652</v>
      </c>
      <c r="J36" s="54"/>
    </row>
    <row r="37" spans="2:10" x14ac:dyDescent="0.25">
      <c r="B37" s="66"/>
      <c r="C37" s="56" t="s">
        <v>124</v>
      </c>
      <c r="D37" s="66" t="s">
        <v>79</v>
      </c>
      <c r="E37" s="67" t="s">
        <v>18</v>
      </c>
      <c r="F37" s="6"/>
      <c r="G37" s="68" t="s">
        <v>74</v>
      </c>
      <c r="H37" s="69">
        <f>'Company Definition'!N$19</f>
        <v>49.552481940700815</v>
      </c>
      <c r="I37" s="68"/>
      <c r="J37" s="68"/>
    </row>
    <row r="38" spans="2:10" x14ac:dyDescent="0.25">
      <c r="B38" s="56"/>
      <c r="C38" s="66"/>
      <c r="D38" s="56"/>
      <c r="E38" s="55" t="s">
        <v>98</v>
      </c>
      <c r="F38" s="4">
        <v>10</v>
      </c>
      <c r="G38" s="54" t="s">
        <v>74</v>
      </c>
      <c r="H38" s="57"/>
      <c r="I38" s="58">
        <f t="shared" ref="I38" si="6">H39*F38</f>
        <v>713.83459568733156</v>
      </c>
      <c r="J38" s="54"/>
    </row>
    <row r="39" spans="2:10" x14ac:dyDescent="0.25">
      <c r="B39" s="66"/>
      <c r="C39" s="56" t="s">
        <v>129</v>
      </c>
      <c r="D39" s="66" t="s">
        <v>79</v>
      </c>
      <c r="E39" s="67" t="s">
        <v>17</v>
      </c>
      <c r="F39" s="6"/>
      <c r="G39" s="68" t="s">
        <v>74</v>
      </c>
      <c r="H39" s="69">
        <f>'Company Definition'!L$18</f>
        <v>71.383459568733159</v>
      </c>
      <c r="I39" s="68"/>
      <c r="J39" s="68"/>
    </row>
    <row r="40" spans="2:10" x14ac:dyDescent="0.25">
      <c r="B40" s="56"/>
      <c r="C40" s="56" t="s">
        <v>130</v>
      </c>
      <c r="D40" s="56" t="s">
        <v>79</v>
      </c>
      <c r="E40" s="55" t="s">
        <v>99</v>
      </c>
      <c r="F40" s="4">
        <v>6</v>
      </c>
      <c r="G40" s="54" t="s">
        <v>74</v>
      </c>
      <c r="H40" s="57"/>
      <c r="I40" s="58">
        <f t="shared" ref="I40" si="7">H41*F40</f>
        <v>247.45660592991914</v>
      </c>
      <c r="J40" s="54"/>
    </row>
    <row r="41" spans="2:10" x14ac:dyDescent="0.25">
      <c r="B41" s="66"/>
      <c r="C41" s="66"/>
      <c r="D41" s="66"/>
      <c r="E41" s="67" t="s">
        <v>19</v>
      </c>
      <c r="F41" s="6"/>
      <c r="G41" s="68" t="s">
        <v>74</v>
      </c>
      <c r="H41" s="69">
        <f>'Company Definition'!N$20</f>
        <v>41.242767654986523</v>
      </c>
      <c r="I41" s="68"/>
      <c r="J41" s="68"/>
    </row>
    <row r="42" spans="2:10" x14ac:dyDescent="0.25">
      <c r="B42" s="56"/>
      <c r="C42" s="56" t="s">
        <v>131</v>
      </c>
      <c r="D42" s="56" t="s">
        <v>79</v>
      </c>
      <c r="E42" s="55" t="s">
        <v>100</v>
      </c>
      <c r="F42" s="4">
        <v>20</v>
      </c>
      <c r="G42" s="54" t="s">
        <v>74</v>
      </c>
      <c r="H42" s="57"/>
      <c r="I42" s="58">
        <f t="shared" ref="I42" si="8">H43*F42</f>
        <v>824.85535309973045</v>
      </c>
      <c r="J42" s="54"/>
    </row>
    <row r="43" spans="2:10" x14ac:dyDescent="0.25">
      <c r="B43" s="66"/>
      <c r="C43" s="66"/>
      <c r="D43" s="66"/>
      <c r="E43" s="67" t="s">
        <v>19</v>
      </c>
      <c r="F43" s="6"/>
      <c r="G43" s="68" t="s">
        <v>74</v>
      </c>
      <c r="H43" s="69">
        <f>'Company Definition'!N$20</f>
        <v>41.242767654986523</v>
      </c>
      <c r="I43" s="68"/>
      <c r="J43" s="68"/>
    </row>
    <row r="44" spans="2:10" x14ac:dyDescent="0.25">
      <c r="B44" s="56"/>
      <c r="C44" s="56" t="s">
        <v>132</v>
      </c>
      <c r="D44" s="56" t="s">
        <v>79</v>
      </c>
      <c r="E44" s="55" t="s">
        <v>101</v>
      </c>
      <c r="F44" s="4">
        <v>10</v>
      </c>
      <c r="G44" s="54" t="s">
        <v>74</v>
      </c>
      <c r="H44" s="57"/>
      <c r="I44" s="58">
        <f t="shared" ref="I44" si="9">H45*F44</f>
        <v>412.42767654986523</v>
      </c>
      <c r="J44" s="54"/>
    </row>
    <row r="45" spans="2:10" x14ac:dyDescent="0.25">
      <c r="B45" s="66"/>
      <c r="C45" s="66"/>
      <c r="D45" s="66"/>
      <c r="E45" s="67" t="s">
        <v>19</v>
      </c>
      <c r="F45" s="6"/>
      <c r="G45" s="68" t="s">
        <v>74</v>
      </c>
      <c r="H45" s="69">
        <f>'Company Definition'!N$20</f>
        <v>41.242767654986523</v>
      </c>
      <c r="I45" s="68"/>
      <c r="J45" s="68"/>
    </row>
    <row r="46" spans="2:10" ht="30" x14ac:dyDescent="0.25">
      <c r="B46" s="61" t="s">
        <v>81</v>
      </c>
      <c r="C46" s="61"/>
      <c r="D46" s="61"/>
      <c r="E46" s="62" t="s">
        <v>72</v>
      </c>
      <c r="F46" s="63">
        <v>73</v>
      </c>
      <c r="G46" s="64" t="s">
        <v>74</v>
      </c>
      <c r="H46" s="65"/>
      <c r="I46" s="64"/>
      <c r="J46" s="60">
        <f>SUM(I47:I58)</f>
        <v>3276.6328959568737</v>
      </c>
    </row>
    <row r="47" spans="2:10" x14ac:dyDescent="0.25">
      <c r="B47" s="56"/>
      <c r="C47" s="56" t="s">
        <v>120</v>
      </c>
      <c r="D47" s="56"/>
      <c r="E47" s="55" t="s">
        <v>102</v>
      </c>
      <c r="F47" s="4">
        <v>8</v>
      </c>
      <c r="G47" s="54" t="s">
        <v>74</v>
      </c>
      <c r="H47" s="57"/>
      <c r="I47" s="58">
        <f>H48*F47</f>
        <v>329.94214123989218</v>
      </c>
      <c r="J47" s="54"/>
    </row>
    <row r="48" spans="2:10" x14ac:dyDescent="0.25">
      <c r="B48" s="66"/>
      <c r="C48" s="66"/>
      <c r="D48" s="66" t="s">
        <v>79</v>
      </c>
      <c r="E48" s="67" t="s">
        <v>19</v>
      </c>
      <c r="F48" s="6"/>
      <c r="G48" s="68" t="s">
        <v>74</v>
      </c>
      <c r="H48" s="69">
        <f>'Company Definition'!N$20</f>
        <v>41.242767654986523</v>
      </c>
      <c r="I48" s="68"/>
      <c r="J48" s="68"/>
    </row>
    <row r="49" spans="2:10" ht="30" x14ac:dyDescent="0.25">
      <c r="B49" s="56"/>
      <c r="C49" s="56" t="s">
        <v>121</v>
      </c>
      <c r="D49" s="56"/>
      <c r="E49" s="55" t="s">
        <v>103</v>
      </c>
      <c r="F49" s="4">
        <v>8</v>
      </c>
      <c r="G49" s="54" t="s">
        <v>74</v>
      </c>
      <c r="H49" s="57"/>
      <c r="I49" s="58">
        <f t="shared" ref="I49" si="10">H50*F49</f>
        <v>396.41985552560652</v>
      </c>
      <c r="J49" s="54"/>
    </row>
    <row r="50" spans="2:10" x14ac:dyDescent="0.25">
      <c r="B50" s="66"/>
      <c r="C50" s="66"/>
      <c r="D50" s="66" t="s">
        <v>79</v>
      </c>
      <c r="E50" s="67" t="s">
        <v>18</v>
      </c>
      <c r="F50" s="6"/>
      <c r="G50" s="68" t="s">
        <v>74</v>
      </c>
      <c r="H50" s="69">
        <f>'Company Definition'!N$19</f>
        <v>49.552481940700815</v>
      </c>
      <c r="I50" s="68"/>
      <c r="J50" s="68"/>
    </row>
    <row r="51" spans="2:10" ht="30" x14ac:dyDescent="0.25">
      <c r="B51" s="56"/>
      <c r="C51" s="56" t="s">
        <v>122</v>
      </c>
      <c r="D51" s="56"/>
      <c r="E51" s="55" t="s">
        <v>104</v>
      </c>
      <c r="F51" s="4">
        <v>10</v>
      </c>
      <c r="G51" s="54" t="s">
        <v>74</v>
      </c>
      <c r="H51" s="57"/>
      <c r="I51" s="58">
        <f t="shared" ref="I51" si="11">H52*F51</f>
        <v>495.52481940700818</v>
      </c>
      <c r="J51" s="54"/>
    </row>
    <row r="52" spans="2:10" x14ac:dyDescent="0.25">
      <c r="B52" s="66"/>
      <c r="C52" s="66"/>
      <c r="D52" s="66" t="s">
        <v>79</v>
      </c>
      <c r="E52" s="67" t="s">
        <v>18</v>
      </c>
      <c r="F52" s="6"/>
      <c r="G52" s="68" t="s">
        <v>74</v>
      </c>
      <c r="H52" s="69">
        <f>'Company Definition'!N$19</f>
        <v>49.552481940700815</v>
      </c>
      <c r="I52" s="68"/>
      <c r="J52" s="68"/>
    </row>
    <row r="53" spans="2:10" x14ac:dyDescent="0.25">
      <c r="B53" s="56"/>
      <c r="C53" s="56" t="s">
        <v>123</v>
      </c>
      <c r="D53" s="56"/>
      <c r="E53" s="55" t="s">
        <v>77</v>
      </c>
      <c r="F53" s="4">
        <v>8</v>
      </c>
      <c r="G53" s="54" t="s">
        <v>74</v>
      </c>
      <c r="H53" s="57"/>
      <c r="I53" s="58">
        <f t="shared" ref="I53" si="12">H54*F53</f>
        <v>329.94214123989218</v>
      </c>
      <c r="J53" s="54"/>
    </row>
    <row r="54" spans="2:10" x14ac:dyDescent="0.25">
      <c r="B54" s="66"/>
      <c r="C54" s="66"/>
      <c r="D54" s="66" t="s">
        <v>79</v>
      </c>
      <c r="E54" s="67" t="s">
        <v>19</v>
      </c>
      <c r="F54" s="6"/>
      <c r="G54" s="68" t="s">
        <v>74</v>
      </c>
      <c r="H54" s="69">
        <f>'Company Definition'!N$20</f>
        <v>41.242767654986523</v>
      </c>
      <c r="I54" s="68"/>
      <c r="J54" s="68"/>
    </row>
    <row r="55" spans="2:10" ht="30" x14ac:dyDescent="0.25">
      <c r="B55" s="56"/>
      <c r="C55" s="56" t="s">
        <v>124</v>
      </c>
      <c r="D55" s="56"/>
      <c r="E55" s="55" t="s">
        <v>105</v>
      </c>
      <c r="F55" s="4">
        <v>14</v>
      </c>
      <c r="G55" s="54" t="s">
        <v>74</v>
      </c>
      <c r="H55" s="57"/>
      <c r="I55" s="58">
        <f t="shared" ref="I55" si="13">H56*F55</f>
        <v>693.73474716981138</v>
      </c>
      <c r="J55" s="54"/>
    </row>
    <row r="56" spans="2:10" x14ac:dyDescent="0.25">
      <c r="B56" s="66"/>
      <c r="C56" s="66"/>
      <c r="D56" s="66" t="s">
        <v>79</v>
      </c>
      <c r="E56" s="67" t="s">
        <v>18</v>
      </c>
      <c r="F56" s="6"/>
      <c r="G56" s="68" t="s">
        <v>74</v>
      </c>
      <c r="H56" s="69">
        <f>'Company Definition'!N$19</f>
        <v>49.552481940700815</v>
      </c>
      <c r="I56" s="68"/>
      <c r="J56" s="68"/>
    </row>
    <row r="57" spans="2:10" x14ac:dyDescent="0.25">
      <c r="B57" s="56"/>
      <c r="C57" s="56" t="s">
        <v>129</v>
      </c>
      <c r="D57" s="56" t="s">
        <v>79</v>
      </c>
      <c r="E57" s="55" t="s">
        <v>106</v>
      </c>
      <c r="F57" s="4">
        <v>25</v>
      </c>
      <c r="G57" s="54" t="s">
        <v>74</v>
      </c>
      <c r="H57" s="57"/>
      <c r="I57" s="58">
        <f t="shared" ref="I57" si="14">H58*F57</f>
        <v>1031.069191374663</v>
      </c>
      <c r="J57" s="54"/>
    </row>
    <row r="58" spans="2:10" x14ac:dyDescent="0.25">
      <c r="B58" s="66"/>
      <c r="C58" s="66"/>
      <c r="D58" s="66"/>
      <c r="E58" s="67" t="s">
        <v>19</v>
      </c>
      <c r="F58" s="6"/>
      <c r="G58" s="68" t="s">
        <v>74</v>
      </c>
      <c r="H58" s="69">
        <f>'Company Definition'!N$20</f>
        <v>41.242767654986523</v>
      </c>
      <c r="I58" s="68"/>
      <c r="J58" s="68"/>
    </row>
    <row r="59" spans="2:10" ht="30" x14ac:dyDescent="0.25">
      <c r="B59" s="61" t="s">
        <v>125</v>
      </c>
      <c r="C59" s="61"/>
      <c r="D59" s="61"/>
      <c r="E59" s="62" t="s">
        <v>73</v>
      </c>
      <c r="F59" s="63">
        <v>81</v>
      </c>
      <c r="G59" s="64" t="s">
        <v>74</v>
      </c>
      <c r="H59" s="65"/>
      <c r="I59" s="64"/>
      <c r="J59" s="60">
        <f>SUM(I60:I75)</f>
        <v>3697.9818943396231</v>
      </c>
    </row>
    <row r="60" spans="2:10" ht="30" x14ac:dyDescent="0.25">
      <c r="B60" s="56"/>
      <c r="C60" s="56" t="s">
        <v>120</v>
      </c>
      <c r="D60" s="56"/>
      <c r="E60" s="55" t="s">
        <v>107</v>
      </c>
      <c r="F60" s="4">
        <v>6</v>
      </c>
      <c r="G60" s="54" t="s">
        <v>74</v>
      </c>
      <c r="H60" s="57"/>
      <c r="I60" s="58">
        <f>H61*F60</f>
        <v>297.31489164420486</v>
      </c>
      <c r="J60" s="54"/>
    </row>
    <row r="61" spans="2:10" x14ac:dyDescent="0.25">
      <c r="B61" s="66"/>
      <c r="C61" s="66"/>
      <c r="D61" s="66" t="s">
        <v>79</v>
      </c>
      <c r="E61" s="67" t="s">
        <v>18</v>
      </c>
      <c r="F61" s="6"/>
      <c r="G61" s="68" t="s">
        <v>74</v>
      </c>
      <c r="H61" s="69">
        <f>'Company Definition'!N$19</f>
        <v>49.552481940700815</v>
      </c>
      <c r="I61" s="68"/>
      <c r="J61" s="68"/>
    </row>
    <row r="62" spans="2:10" x14ac:dyDescent="0.25">
      <c r="B62" s="56"/>
      <c r="C62" s="56" t="s">
        <v>121</v>
      </c>
      <c r="D62" s="56"/>
      <c r="E62" s="55" t="s">
        <v>108</v>
      </c>
      <c r="F62" s="4">
        <v>12</v>
      </c>
      <c r="G62" s="54"/>
      <c r="H62" s="57"/>
      <c r="I62" s="58">
        <f t="shared" ref="I62" si="15">H63*F62</f>
        <v>594.62978328840973</v>
      </c>
      <c r="J62" s="54"/>
    </row>
    <row r="63" spans="2:10" x14ac:dyDescent="0.25">
      <c r="B63" s="66"/>
      <c r="C63" s="66"/>
      <c r="D63" s="66" t="s">
        <v>79</v>
      </c>
      <c r="E63" s="67" t="s">
        <v>18</v>
      </c>
      <c r="F63" s="6"/>
      <c r="G63" s="68"/>
      <c r="H63" s="69">
        <f>'Company Definition'!N$19</f>
        <v>49.552481940700815</v>
      </c>
      <c r="I63" s="68"/>
      <c r="J63" s="68"/>
    </row>
    <row r="64" spans="2:10" x14ac:dyDescent="0.25">
      <c r="B64" s="56"/>
      <c r="C64" s="56" t="s">
        <v>122</v>
      </c>
      <c r="D64" s="56"/>
      <c r="E64" s="55" t="s">
        <v>77</v>
      </c>
      <c r="F64" s="4">
        <v>8</v>
      </c>
      <c r="G64" s="54"/>
      <c r="H64" s="57"/>
      <c r="I64" s="58">
        <f t="shared" ref="I64" si="16">H65*F64</f>
        <v>329.94214123989218</v>
      </c>
      <c r="J64" s="54"/>
    </row>
    <row r="65" spans="2:10" x14ac:dyDescent="0.25">
      <c r="B65" s="66"/>
      <c r="C65" s="66"/>
      <c r="D65" s="66" t="s">
        <v>79</v>
      </c>
      <c r="E65" s="67" t="s">
        <v>19</v>
      </c>
      <c r="F65" s="6"/>
      <c r="G65" s="68"/>
      <c r="H65" s="69">
        <f>'Company Definition'!N$20</f>
        <v>41.242767654986523</v>
      </c>
      <c r="I65" s="68"/>
      <c r="J65" s="68"/>
    </row>
    <row r="66" spans="2:10" ht="30" x14ac:dyDescent="0.25">
      <c r="B66" s="56"/>
      <c r="C66" s="56" t="s">
        <v>123</v>
      </c>
      <c r="D66" s="56"/>
      <c r="E66" s="55" t="s">
        <v>109</v>
      </c>
      <c r="F66" s="4">
        <v>4</v>
      </c>
      <c r="G66" s="54"/>
      <c r="H66" s="57"/>
      <c r="I66" s="58">
        <f t="shared" ref="I66" si="17">H67*F66</f>
        <v>164.97107061994609</v>
      </c>
      <c r="J66" s="54"/>
    </row>
    <row r="67" spans="2:10" x14ac:dyDescent="0.25">
      <c r="B67" s="66"/>
      <c r="C67" s="66"/>
      <c r="D67" s="66" t="s">
        <v>79</v>
      </c>
      <c r="E67" s="67" t="s">
        <v>19</v>
      </c>
      <c r="F67" s="6"/>
      <c r="G67" s="68"/>
      <c r="H67" s="69">
        <f>'Company Definition'!N$20</f>
        <v>41.242767654986523</v>
      </c>
      <c r="I67" s="68"/>
      <c r="J67" s="68"/>
    </row>
    <row r="68" spans="2:10" ht="30" x14ac:dyDescent="0.25">
      <c r="B68" s="56"/>
      <c r="C68" s="56" t="s">
        <v>124</v>
      </c>
      <c r="D68" s="56"/>
      <c r="E68" s="55" t="s">
        <v>110</v>
      </c>
      <c r="F68" s="4">
        <v>10</v>
      </c>
      <c r="G68" s="54"/>
      <c r="H68" s="57"/>
      <c r="I68" s="58">
        <f t="shared" ref="I68" si="18">H69*F68</f>
        <v>495.52481940700818</v>
      </c>
      <c r="J68" s="54"/>
    </row>
    <row r="69" spans="2:10" x14ac:dyDescent="0.25">
      <c r="B69" s="66"/>
      <c r="C69" s="66"/>
      <c r="D69" s="66" t="s">
        <v>79</v>
      </c>
      <c r="E69" s="67" t="s">
        <v>18</v>
      </c>
      <c r="F69" s="6"/>
      <c r="G69" s="68"/>
      <c r="H69" s="69">
        <f>'Company Definition'!N$19</f>
        <v>49.552481940700815</v>
      </c>
      <c r="I69" s="68"/>
      <c r="J69" s="68"/>
    </row>
    <row r="70" spans="2:10" ht="30" x14ac:dyDescent="0.25">
      <c r="B70" s="56"/>
      <c r="C70" s="56" t="s">
        <v>129</v>
      </c>
      <c r="D70" s="56"/>
      <c r="E70" s="55" t="s">
        <v>111</v>
      </c>
      <c r="F70" s="4">
        <v>15</v>
      </c>
      <c r="G70" s="54"/>
      <c r="H70" s="57"/>
      <c r="I70" s="58">
        <f t="shared" ref="I70" si="19">H71*F70</f>
        <v>743.28722911051227</v>
      </c>
      <c r="J70" s="54"/>
    </row>
    <row r="71" spans="2:10" x14ac:dyDescent="0.25">
      <c r="B71" s="66"/>
      <c r="C71" s="66"/>
      <c r="D71" s="66" t="s">
        <v>79</v>
      </c>
      <c r="E71" s="67" t="s">
        <v>18</v>
      </c>
      <c r="F71" s="6"/>
      <c r="G71" s="68"/>
      <c r="H71" s="69">
        <f>'Company Definition'!N$19</f>
        <v>49.552481940700815</v>
      </c>
      <c r="I71" s="68"/>
      <c r="J71" s="68"/>
    </row>
    <row r="72" spans="2:10" x14ac:dyDescent="0.25">
      <c r="B72" s="56"/>
      <c r="C72" s="56" t="s">
        <v>130</v>
      </c>
      <c r="D72" s="56"/>
      <c r="E72" s="55" t="s">
        <v>77</v>
      </c>
      <c r="F72" s="4">
        <v>10</v>
      </c>
      <c r="G72" s="54"/>
      <c r="H72" s="57"/>
      <c r="I72" s="58">
        <f t="shared" ref="I72" si="20">H73*F72</f>
        <v>412.42767654986523</v>
      </c>
      <c r="J72" s="54"/>
    </row>
    <row r="73" spans="2:10" x14ac:dyDescent="0.25">
      <c r="B73" s="66"/>
      <c r="C73" s="66"/>
      <c r="D73" s="66" t="s">
        <v>79</v>
      </c>
      <c r="E73" s="67" t="s">
        <v>19</v>
      </c>
      <c r="F73" s="6"/>
      <c r="G73" s="68"/>
      <c r="H73" s="69">
        <f>'Company Definition'!N$20</f>
        <v>41.242767654986523</v>
      </c>
      <c r="I73" s="68"/>
      <c r="J73" s="68"/>
    </row>
    <row r="74" spans="2:10" x14ac:dyDescent="0.25">
      <c r="B74" s="56"/>
      <c r="C74" s="56" t="s">
        <v>131</v>
      </c>
      <c r="D74" s="56"/>
      <c r="E74" s="55" t="s">
        <v>78</v>
      </c>
      <c r="F74" s="4">
        <v>16</v>
      </c>
      <c r="G74" s="54"/>
      <c r="H74" s="57"/>
      <c r="I74" s="58">
        <f t="shared" ref="I74" si="21">H75*F74</f>
        <v>659.88428247978436</v>
      </c>
      <c r="J74" s="54"/>
    </row>
    <row r="75" spans="2:10" x14ac:dyDescent="0.25">
      <c r="B75" s="66"/>
      <c r="C75" s="66"/>
      <c r="D75" s="66" t="s">
        <v>79</v>
      </c>
      <c r="E75" s="67" t="s">
        <v>19</v>
      </c>
      <c r="F75" s="6"/>
      <c r="G75" s="68"/>
      <c r="H75" s="69">
        <f>'Company Definition'!N$20</f>
        <v>41.242767654986523</v>
      </c>
      <c r="I75" s="68"/>
      <c r="J75" s="68"/>
    </row>
    <row r="76" spans="2:10" x14ac:dyDescent="0.25">
      <c r="B76" s="61" t="s">
        <v>126</v>
      </c>
      <c r="C76" s="61"/>
      <c r="D76" s="61"/>
      <c r="E76" s="70" t="s">
        <v>75</v>
      </c>
      <c r="F76" s="63">
        <v>76</v>
      </c>
      <c r="G76" s="64"/>
      <c r="H76" s="65"/>
      <c r="I76" s="64"/>
      <c r="J76" s="60">
        <f>SUM(I77:I88)</f>
        <v>3134.4503417789756</v>
      </c>
    </row>
    <row r="77" spans="2:10" x14ac:dyDescent="0.25">
      <c r="B77" s="56"/>
      <c r="C77" s="56" t="s">
        <v>120</v>
      </c>
      <c r="D77" s="56"/>
      <c r="E77" s="55" t="s">
        <v>112</v>
      </c>
      <c r="F77" s="4">
        <v>8</v>
      </c>
      <c r="G77" s="54"/>
      <c r="H77" s="57"/>
      <c r="I77" s="58">
        <f>H78*F77</f>
        <v>329.94214123989218</v>
      </c>
      <c r="J77" s="54"/>
    </row>
    <row r="78" spans="2:10" x14ac:dyDescent="0.25">
      <c r="B78" s="66"/>
      <c r="C78" s="66"/>
      <c r="D78" s="66" t="s">
        <v>79</v>
      </c>
      <c r="E78" s="67" t="s">
        <v>19</v>
      </c>
      <c r="F78" s="6"/>
      <c r="G78" s="68"/>
      <c r="H78" s="69">
        <f>'Company Definition'!N$20</f>
        <v>41.242767654986523</v>
      </c>
      <c r="I78" s="68"/>
      <c r="J78" s="68"/>
    </row>
    <row r="79" spans="2:10" ht="30" x14ac:dyDescent="0.25">
      <c r="B79" s="56"/>
      <c r="C79" s="56" t="s">
        <v>121</v>
      </c>
      <c r="D79" s="56"/>
      <c r="E79" s="55" t="s">
        <v>113</v>
      </c>
      <c r="F79" s="4">
        <v>10</v>
      </c>
      <c r="G79" s="54"/>
      <c r="H79" s="57"/>
      <c r="I79" s="58">
        <f t="shared" ref="I79" si="22">H80*F79</f>
        <v>412.42767654986523</v>
      </c>
      <c r="J79" s="54"/>
    </row>
    <row r="80" spans="2:10" x14ac:dyDescent="0.25">
      <c r="B80" s="66"/>
      <c r="C80" s="66"/>
      <c r="D80" s="66" t="s">
        <v>79</v>
      </c>
      <c r="E80" s="67" t="s">
        <v>19</v>
      </c>
      <c r="F80" s="6"/>
      <c r="G80" s="68"/>
      <c r="H80" s="69">
        <f>'Company Definition'!N$20</f>
        <v>41.242767654986523</v>
      </c>
      <c r="I80" s="68"/>
      <c r="J80" s="68"/>
    </row>
    <row r="81" spans="2:10" x14ac:dyDescent="0.25">
      <c r="B81" s="56"/>
      <c r="C81" s="56" t="s">
        <v>122</v>
      </c>
      <c r="D81" s="56"/>
      <c r="E81" s="55" t="s">
        <v>114</v>
      </c>
      <c r="F81" s="4">
        <v>15</v>
      </c>
      <c r="G81" s="54"/>
      <c r="H81" s="57"/>
      <c r="I81" s="58">
        <f t="shared" ref="I81" si="23">H82*F81</f>
        <v>618.64151482479781</v>
      </c>
      <c r="J81" s="54"/>
    </row>
    <row r="82" spans="2:10" x14ac:dyDescent="0.25">
      <c r="B82" s="66"/>
      <c r="C82" s="66"/>
      <c r="D82" s="66" t="s">
        <v>79</v>
      </c>
      <c r="E82" s="67" t="s">
        <v>19</v>
      </c>
      <c r="F82" s="6"/>
      <c r="G82" s="68"/>
      <c r="H82" s="69">
        <f>'Company Definition'!N$20</f>
        <v>41.242767654986523</v>
      </c>
      <c r="I82" s="68"/>
      <c r="J82" s="68"/>
    </row>
    <row r="83" spans="2:10" x14ac:dyDescent="0.25">
      <c r="B83" s="56"/>
      <c r="C83" s="56" t="s">
        <v>123</v>
      </c>
      <c r="D83" s="56"/>
      <c r="E83" s="55" t="s">
        <v>115</v>
      </c>
      <c r="F83" s="4">
        <v>10</v>
      </c>
      <c r="G83" s="54"/>
      <c r="H83" s="57"/>
      <c r="I83" s="58">
        <f t="shared" ref="I83" si="24">H84*F83</f>
        <v>412.42767654986523</v>
      </c>
      <c r="J83" s="54"/>
    </row>
    <row r="84" spans="2:10" x14ac:dyDescent="0.25">
      <c r="B84" s="66"/>
      <c r="C84" s="66"/>
      <c r="D84" s="66" t="s">
        <v>79</v>
      </c>
      <c r="E84" s="67" t="s">
        <v>19</v>
      </c>
      <c r="F84" s="6"/>
      <c r="G84" s="68"/>
      <c r="H84" s="69">
        <f>'Company Definition'!N$20</f>
        <v>41.242767654986523</v>
      </c>
      <c r="I84" s="68"/>
      <c r="J84" s="68"/>
    </row>
    <row r="85" spans="2:10" x14ac:dyDescent="0.25">
      <c r="B85" s="56"/>
      <c r="C85" s="56" t="s">
        <v>124</v>
      </c>
      <c r="D85" s="56"/>
      <c r="E85" s="55" t="s">
        <v>116</v>
      </c>
      <c r="F85" s="4">
        <v>8</v>
      </c>
      <c r="G85" s="54"/>
      <c r="H85" s="57"/>
      <c r="I85" s="58">
        <f t="shared" ref="I85" si="25">H86*F85</f>
        <v>329.94214123989218</v>
      </c>
      <c r="J85" s="54"/>
    </row>
    <row r="86" spans="2:10" x14ac:dyDescent="0.25">
      <c r="B86" s="66"/>
      <c r="C86" s="66"/>
      <c r="D86" s="66" t="s">
        <v>79</v>
      </c>
      <c r="E86" s="67" t="s">
        <v>19</v>
      </c>
      <c r="F86" s="6"/>
      <c r="G86" s="68"/>
      <c r="H86" s="69">
        <f>'Company Definition'!N$20</f>
        <v>41.242767654986523</v>
      </c>
      <c r="I86" s="68"/>
      <c r="J86" s="68"/>
    </row>
    <row r="87" spans="2:10" x14ac:dyDescent="0.25">
      <c r="B87" s="56"/>
      <c r="C87" s="56" t="s">
        <v>129</v>
      </c>
      <c r="D87" s="56"/>
      <c r="E87" s="55" t="s">
        <v>117</v>
      </c>
      <c r="F87" s="4">
        <v>25</v>
      </c>
      <c r="G87" s="54"/>
      <c r="H87" s="57"/>
      <c r="I87" s="58">
        <f t="shared" ref="I87" si="26">H88*F87</f>
        <v>1031.069191374663</v>
      </c>
      <c r="J87" s="54"/>
    </row>
    <row r="88" spans="2:10" x14ac:dyDescent="0.25">
      <c r="B88" s="66"/>
      <c r="C88" s="66"/>
      <c r="D88" s="66" t="s">
        <v>79</v>
      </c>
      <c r="E88" s="67" t="s">
        <v>19</v>
      </c>
      <c r="F88" s="6"/>
      <c r="G88" s="68"/>
      <c r="H88" s="69">
        <f>'Company Definition'!N$20</f>
        <v>41.242767654986523</v>
      </c>
      <c r="I88" s="68"/>
      <c r="J88" s="68"/>
    </row>
    <row r="89" spans="2:10" x14ac:dyDescent="0.25">
      <c r="B89" s="61" t="s">
        <v>127</v>
      </c>
      <c r="C89" s="61"/>
      <c r="D89" s="61"/>
      <c r="E89" s="70" t="s">
        <v>76</v>
      </c>
      <c r="F89" s="63">
        <v>43</v>
      </c>
      <c r="G89" s="64"/>
      <c r="H89" s="65"/>
      <c r="I89" s="64"/>
      <c r="J89" s="60">
        <f>SUM(I90:I95)</f>
        <v>1773.4390091644204</v>
      </c>
    </row>
    <row r="90" spans="2:10" x14ac:dyDescent="0.25">
      <c r="B90" s="56"/>
      <c r="C90" s="56" t="s">
        <v>120</v>
      </c>
      <c r="D90" s="56"/>
      <c r="E90" s="55" t="s">
        <v>118</v>
      </c>
      <c r="F90" s="4">
        <v>25</v>
      </c>
      <c r="G90" s="54"/>
      <c r="H90" s="57"/>
      <c r="I90" s="58">
        <f>H91*F90</f>
        <v>1031.069191374663</v>
      </c>
      <c r="J90" s="54"/>
    </row>
    <row r="91" spans="2:10" x14ac:dyDescent="0.25">
      <c r="B91" s="66"/>
      <c r="C91" s="66"/>
      <c r="D91" s="66" t="s">
        <v>79</v>
      </c>
      <c r="E91" s="67" t="s">
        <v>19</v>
      </c>
      <c r="F91" s="6"/>
      <c r="G91" s="68"/>
      <c r="H91" s="69">
        <f>'Company Definition'!N$20</f>
        <v>41.242767654986523</v>
      </c>
      <c r="I91" s="68"/>
      <c r="J91" s="68"/>
    </row>
    <row r="92" spans="2:10" x14ac:dyDescent="0.25">
      <c r="B92" s="56"/>
      <c r="C92" s="56" t="s">
        <v>121</v>
      </c>
      <c r="D92" s="56"/>
      <c r="E92" s="55" t="s">
        <v>119</v>
      </c>
      <c r="F92" s="4">
        <v>10</v>
      </c>
      <c r="G92" s="54"/>
      <c r="H92" s="57"/>
      <c r="I92" s="58">
        <f t="shared" ref="I92" si="27">H93*F92</f>
        <v>412.42767654986523</v>
      </c>
      <c r="J92" s="54"/>
    </row>
    <row r="93" spans="2:10" x14ac:dyDescent="0.25">
      <c r="B93" s="66"/>
      <c r="C93" s="66"/>
      <c r="D93" s="66" t="s">
        <v>79</v>
      </c>
      <c r="E93" s="67" t="s">
        <v>19</v>
      </c>
      <c r="F93" s="6"/>
      <c r="G93" s="68"/>
      <c r="H93" s="69">
        <f>'Company Definition'!N$20</f>
        <v>41.242767654986523</v>
      </c>
      <c r="I93" s="68"/>
      <c r="J93" s="68"/>
    </row>
    <row r="94" spans="2:10" x14ac:dyDescent="0.25">
      <c r="B94" s="56"/>
      <c r="C94" s="56" t="s">
        <v>122</v>
      </c>
      <c r="D94" s="56"/>
      <c r="E94" s="55" t="s">
        <v>115</v>
      </c>
      <c r="F94" s="4">
        <v>8</v>
      </c>
      <c r="G94" s="54"/>
      <c r="H94" s="57"/>
      <c r="I94" s="58">
        <f t="shared" ref="I94" si="28">H95*F94</f>
        <v>329.94214123989218</v>
      </c>
      <c r="J94" s="54"/>
    </row>
    <row r="95" spans="2:10" x14ac:dyDescent="0.25">
      <c r="B95" s="66"/>
      <c r="C95" s="66"/>
      <c r="D95" s="66" t="s">
        <v>79</v>
      </c>
      <c r="E95" s="67" t="s">
        <v>19</v>
      </c>
      <c r="F95" s="6"/>
      <c r="G95" s="68"/>
      <c r="H95" s="69">
        <f>'Company Definition'!N$20</f>
        <v>41.242767654986523</v>
      </c>
      <c r="I95" s="68"/>
      <c r="J95" s="68"/>
    </row>
    <row r="96" spans="2:10" x14ac:dyDescent="0.25">
      <c r="B96" s="61" t="s">
        <v>128</v>
      </c>
      <c r="C96" s="61"/>
      <c r="D96" s="61"/>
      <c r="E96" s="70" t="s">
        <v>138</v>
      </c>
      <c r="F96" s="63">
        <v>8</v>
      </c>
      <c r="G96" s="64"/>
      <c r="H96" s="65"/>
      <c r="I96" s="64"/>
      <c r="J96" s="60">
        <f>SUM(I97:I120)</f>
        <v>3540.5832711590301</v>
      </c>
    </row>
    <row r="97" spans="2:10" x14ac:dyDescent="0.25">
      <c r="B97" s="66"/>
      <c r="C97" s="66" t="s">
        <v>120</v>
      </c>
      <c r="D97" s="66"/>
      <c r="E97" s="67" t="s">
        <v>139</v>
      </c>
      <c r="F97" s="6">
        <v>1</v>
      </c>
      <c r="G97" s="68"/>
      <c r="H97" s="69"/>
      <c r="I97" s="75">
        <f>(H98+H99)*F97</f>
        <v>98.349535309973049</v>
      </c>
      <c r="J97" s="68"/>
    </row>
    <row r="98" spans="2:10" x14ac:dyDescent="0.25">
      <c r="B98" s="76"/>
      <c r="C98" s="76"/>
      <c r="D98" s="76" t="s">
        <v>79</v>
      </c>
      <c r="E98" s="77" t="s">
        <v>19</v>
      </c>
      <c r="F98" s="78"/>
      <c r="G98" s="79"/>
      <c r="H98" s="80">
        <f>'Company Definition'!N$20</f>
        <v>41.242767654986523</v>
      </c>
      <c r="I98" s="79"/>
      <c r="J98" s="79"/>
    </row>
    <row r="99" spans="2:10" x14ac:dyDescent="0.25">
      <c r="B99" s="56"/>
      <c r="C99" s="56"/>
      <c r="D99" s="56" t="s">
        <v>80</v>
      </c>
      <c r="E99" s="55" t="s">
        <v>20</v>
      </c>
      <c r="F99" s="4"/>
      <c r="G99" s="54"/>
      <c r="H99" s="57">
        <f>'Company Definition'!N$18</f>
        <v>57.106767654986527</v>
      </c>
      <c r="I99" s="58"/>
      <c r="J99" s="54"/>
    </row>
    <row r="100" spans="2:10" x14ac:dyDescent="0.25">
      <c r="B100" s="66"/>
      <c r="C100" s="66" t="s">
        <v>121</v>
      </c>
      <c r="D100" s="66"/>
      <c r="E100" s="67" t="s">
        <v>140</v>
      </c>
      <c r="F100" s="6">
        <v>2</v>
      </c>
      <c r="G100" s="68"/>
      <c r="H100" s="69"/>
      <c r="I100" s="75">
        <f t="shared" ref="I100" si="29">(H101+H102)*F100</f>
        <v>196.6990706199461</v>
      </c>
      <c r="J100" s="68"/>
    </row>
    <row r="101" spans="2:10" x14ac:dyDescent="0.25">
      <c r="B101" s="76"/>
      <c r="C101" s="76"/>
      <c r="D101" s="76" t="s">
        <v>81</v>
      </c>
      <c r="E101" s="77" t="s">
        <v>19</v>
      </c>
      <c r="F101" s="78"/>
      <c r="G101" s="79"/>
      <c r="H101" s="80">
        <f>'Company Definition'!N$20</f>
        <v>41.242767654986523</v>
      </c>
      <c r="I101" s="79"/>
      <c r="J101" s="79"/>
    </row>
    <row r="102" spans="2:10" x14ac:dyDescent="0.25">
      <c r="B102" s="56"/>
      <c r="C102" s="56"/>
      <c r="D102" s="56" t="s">
        <v>125</v>
      </c>
      <c r="E102" s="55" t="s">
        <v>20</v>
      </c>
      <c r="F102" s="4"/>
      <c r="G102" s="54"/>
      <c r="H102" s="57">
        <f>'Company Definition'!N$18</f>
        <v>57.106767654986527</v>
      </c>
      <c r="I102" s="58"/>
      <c r="J102" s="54"/>
    </row>
    <row r="103" spans="2:10" x14ac:dyDescent="0.25">
      <c r="B103" s="66"/>
      <c r="C103" s="66" t="s">
        <v>122</v>
      </c>
      <c r="D103" s="66"/>
      <c r="E103" s="67" t="s">
        <v>141</v>
      </c>
      <c r="F103" s="6">
        <v>3</v>
      </c>
      <c r="G103" s="68"/>
      <c r="H103" s="69"/>
      <c r="I103" s="75">
        <f t="shared" ref="I103" si="30">(H104+H105)*F103</f>
        <v>295.04860592991918</v>
      </c>
      <c r="J103" s="68"/>
    </row>
    <row r="104" spans="2:10" x14ac:dyDescent="0.25">
      <c r="B104" s="76"/>
      <c r="C104" s="76"/>
      <c r="D104" s="76" t="s">
        <v>126</v>
      </c>
      <c r="E104" s="77" t="s">
        <v>19</v>
      </c>
      <c r="F104" s="78"/>
      <c r="G104" s="79"/>
      <c r="H104" s="80">
        <f>'Company Definition'!N$20</f>
        <v>41.242767654986523</v>
      </c>
      <c r="I104" s="79"/>
      <c r="J104" s="79"/>
    </row>
    <row r="105" spans="2:10" x14ac:dyDescent="0.25">
      <c r="B105" s="56"/>
      <c r="C105" s="56"/>
      <c r="D105" s="56" t="s">
        <v>127</v>
      </c>
      <c r="E105" s="55" t="s">
        <v>20</v>
      </c>
      <c r="F105" s="4"/>
      <c r="G105" s="54"/>
      <c r="H105" s="57">
        <f>'Company Definition'!N$18</f>
        <v>57.106767654986527</v>
      </c>
      <c r="I105" s="58"/>
      <c r="J105" s="54"/>
    </row>
    <row r="106" spans="2:10" x14ac:dyDescent="0.25">
      <c r="B106" s="66"/>
      <c r="C106" s="66" t="s">
        <v>123</v>
      </c>
      <c r="D106" s="66"/>
      <c r="E106" s="67" t="s">
        <v>142</v>
      </c>
      <c r="F106" s="6">
        <v>4</v>
      </c>
      <c r="G106" s="68"/>
      <c r="H106" s="69"/>
      <c r="I106" s="75">
        <f t="shared" ref="I106" si="31">(H107+H108)*F106</f>
        <v>393.3981412398922</v>
      </c>
      <c r="J106" s="68"/>
    </row>
    <row r="107" spans="2:10" x14ac:dyDescent="0.25">
      <c r="B107" s="76"/>
      <c r="C107" s="76"/>
      <c r="D107" s="76" t="s">
        <v>128</v>
      </c>
      <c r="E107" s="77" t="s">
        <v>19</v>
      </c>
      <c r="F107" s="78"/>
      <c r="G107" s="79"/>
      <c r="H107" s="80">
        <f>'Company Definition'!N$20</f>
        <v>41.242767654986523</v>
      </c>
      <c r="I107" s="79"/>
      <c r="J107" s="79"/>
    </row>
    <row r="108" spans="2:10" x14ac:dyDescent="0.25">
      <c r="B108" s="56"/>
      <c r="C108" s="56"/>
      <c r="D108" s="56" t="s">
        <v>147</v>
      </c>
      <c r="E108" s="55" t="s">
        <v>20</v>
      </c>
      <c r="F108" s="4"/>
      <c r="G108" s="54"/>
      <c r="H108" s="57">
        <f>'Company Definition'!N$18</f>
        <v>57.106767654986527</v>
      </c>
      <c r="I108" s="58"/>
      <c r="J108" s="54"/>
    </row>
    <row r="109" spans="2:10" x14ac:dyDescent="0.25">
      <c r="B109" s="66"/>
      <c r="C109" s="66" t="s">
        <v>124</v>
      </c>
      <c r="D109" s="66"/>
      <c r="E109" s="67" t="s">
        <v>143</v>
      </c>
      <c r="F109" s="6">
        <v>5</v>
      </c>
      <c r="G109" s="68"/>
      <c r="H109" s="69"/>
      <c r="I109" s="75">
        <f t="shared" ref="I109" si="32">(H110+H111)*F109</f>
        <v>491.74767654986522</v>
      </c>
      <c r="J109" s="68"/>
    </row>
    <row r="110" spans="2:10" x14ac:dyDescent="0.25">
      <c r="B110" s="76"/>
      <c r="C110" s="76"/>
      <c r="D110" s="76" t="s">
        <v>148</v>
      </c>
      <c r="E110" s="77" t="s">
        <v>19</v>
      </c>
      <c r="F110" s="78"/>
      <c r="G110" s="79"/>
      <c r="H110" s="80">
        <f>'Company Definition'!N$20</f>
        <v>41.242767654986523</v>
      </c>
      <c r="I110" s="79"/>
      <c r="J110" s="79"/>
    </row>
    <row r="111" spans="2:10" x14ac:dyDescent="0.25">
      <c r="B111" s="56"/>
      <c r="C111" s="56"/>
      <c r="D111" s="56" t="s">
        <v>149</v>
      </c>
      <c r="E111" s="55" t="s">
        <v>20</v>
      </c>
      <c r="F111" s="4"/>
      <c r="G111" s="54"/>
      <c r="H111" s="57">
        <f>'Company Definition'!N$18</f>
        <v>57.106767654986527</v>
      </c>
      <c r="I111" s="58"/>
      <c r="J111" s="54"/>
    </row>
    <row r="112" spans="2:10" x14ac:dyDescent="0.25">
      <c r="B112" s="66"/>
      <c r="C112" s="66" t="s">
        <v>129</v>
      </c>
      <c r="D112" s="66"/>
      <c r="E112" s="67" t="s">
        <v>144</v>
      </c>
      <c r="F112" s="6">
        <v>6</v>
      </c>
      <c r="G112" s="68"/>
      <c r="H112" s="69"/>
      <c r="I112" s="75">
        <f t="shared" ref="I112" si="33">(H113+H114)*F112</f>
        <v>590.09721185983835</v>
      </c>
      <c r="J112" s="68"/>
    </row>
    <row r="113" spans="2:10" x14ac:dyDescent="0.25">
      <c r="B113" s="76"/>
      <c r="C113" s="76"/>
      <c r="D113" s="76" t="s">
        <v>150</v>
      </c>
      <c r="E113" s="77" t="s">
        <v>19</v>
      </c>
      <c r="F113" s="78"/>
      <c r="G113" s="79"/>
      <c r="H113" s="80">
        <f>'Company Definition'!N$20</f>
        <v>41.242767654986523</v>
      </c>
      <c r="I113" s="79"/>
      <c r="J113" s="79"/>
    </row>
    <row r="114" spans="2:10" x14ac:dyDescent="0.25">
      <c r="B114" s="56"/>
      <c r="C114" s="56"/>
      <c r="D114" s="56" t="s">
        <v>151</v>
      </c>
      <c r="E114" s="55" t="s">
        <v>20</v>
      </c>
      <c r="F114" s="4"/>
      <c r="G114" s="54"/>
      <c r="H114" s="57">
        <f>'Company Definition'!N$18</f>
        <v>57.106767654986527</v>
      </c>
      <c r="I114" s="58"/>
      <c r="J114" s="54"/>
    </row>
    <row r="115" spans="2:10" x14ac:dyDescent="0.25">
      <c r="B115" s="66"/>
      <c r="C115" s="66" t="s">
        <v>130</v>
      </c>
      <c r="D115" s="66"/>
      <c r="E115" s="67" t="s">
        <v>145</v>
      </c>
      <c r="F115" s="6">
        <v>7</v>
      </c>
      <c r="G115" s="68"/>
      <c r="H115" s="69"/>
      <c r="I115" s="75">
        <f t="shared" ref="I115" si="34">(H116+H117)*F115</f>
        <v>688.44674716981137</v>
      </c>
      <c r="J115" s="68"/>
    </row>
    <row r="116" spans="2:10" x14ac:dyDescent="0.25">
      <c r="B116" s="76"/>
      <c r="C116" s="76"/>
      <c r="D116" s="76" t="s">
        <v>152</v>
      </c>
      <c r="E116" s="77" t="s">
        <v>19</v>
      </c>
      <c r="F116" s="78"/>
      <c r="G116" s="79"/>
      <c r="H116" s="80">
        <f>'Company Definition'!N$20</f>
        <v>41.242767654986523</v>
      </c>
      <c r="I116" s="79"/>
      <c r="J116" s="79"/>
    </row>
    <row r="117" spans="2:10" x14ac:dyDescent="0.25">
      <c r="B117" s="56"/>
      <c r="C117" s="56"/>
      <c r="D117" s="56" t="s">
        <v>153</v>
      </c>
      <c r="E117" s="55" t="s">
        <v>20</v>
      </c>
      <c r="F117" s="4"/>
      <c r="G117" s="54"/>
      <c r="H117" s="57">
        <f>'Company Definition'!N$18</f>
        <v>57.106767654986527</v>
      </c>
      <c r="I117" s="58"/>
      <c r="J117" s="54"/>
    </row>
    <row r="118" spans="2:10" x14ac:dyDescent="0.25">
      <c r="B118" s="66"/>
      <c r="C118" s="66" t="s">
        <v>131</v>
      </c>
      <c r="D118" s="66"/>
      <c r="E118" s="67" t="s">
        <v>146</v>
      </c>
      <c r="F118" s="6">
        <v>8</v>
      </c>
      <c r="G118" s="68"/>
      <c r="H118" s="69"/>
      <c r="I118" s="75">
        <f t="shared" ref="I118" si="35">(H119+H120)*F118</f>
        <v>786.7962824797844</v>
      </c>
      <c r="J118" s="68"/>
    </row>
    <row r="119" spans="2:10" x14ac:dyDescent="0.25">
      <c r="B119" s="76"/>
      <c r="C119" s="76"/>
      <c r="D119" s="76" t="s">
        <v>154</v>
      </c>
      <c r="E119" s="77" t="s">
        <v>19</v>
      </c>
      <c r="F119" s="78"/>
      <c r="G119" s="79"/>
      <c r="H119" s="80">
        <f>'Company Definition'!N$20</f>
        <v>41.242767654986523</v>
      </c>
      <c r="I119" s="79"/>
      <c r="J119" s="79"/>
    </row>
    <row r="120" spans="2:10" x14ac:dyDescent="0.25">
      <c r="B120" s="56"/>
      <c r="C120" s="56"/>
      <c r="D120" s="56" t="s">
        <v>155</v>
      </c>
      <c r="E120" s="55" t="s">
        <v>20</v>
      </c>
      <c r="F120" s="4"/>
      <c r="G120" s="54"/>
      <c r="H120" s="57">
        <f>'Company Definition'!N$18</f>
        <v>57.106767654986527</v>
      </c>
      <c r="I120" s="58"/>
      <c r="J120" s="54"/>
    </row>
    <row r="121" spans="2:10" x14ac:dyDescent="0.25">
      <c r="B121" s="71" t="s">
        <v>16</v>
      </c>
      <c r="C121" s="72"/>
      <c r="D121" s="72"/>
      <c r="E121" s="72"/>
      <c r="F121" s="72"/>
      <c r="G121" s="72"/>
      <c r="H121" s="72"/>
      <c r="I121" s="73"/>
      <c r="J121" s="59">
        <f>SUM(J4:J120)</f>
        <v>25092.629328840972</v>
      </c>
    </row>
  </sheetData>
  <mergeCells count="1">
    <mergeCell ref="B121:I121"/>
  </mergeCells>
  <phoneticPr fontId="6" type="noConversion"/>
  <pageMargins left="0.7" right="0.7" top="0.75" bottom="0.75" header="0.3" footer="0.3"/>
  <ignoredErrors>
    <ignoredError sqref="B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CE666B2277194182D5BC9EB21B3CF2" ma:contentTypeVersion="15" ma:contentTypeDescription="Crear nuevo documento." ma:contentTypeScope="" ma:versionID="b98a9d81415cd822166ad3aa3a8a7cf5">
  <xsd:schema xmlns:xsd="http://www.w3.org/2001/XMLSchema" xmlns:xs="http://www.w3.org/2001/XMLSchema" xmlns:p="http://schemas.microsoft.com/office/2006/metadata/properties" xmlns:ns3="25e881ed-162c-4eb5-aca6-757da1858641" xmlns:ns4="b6a4afce-f971-4dd0-9252-277d982b4897" targetNamespace="http://schemas.microsoft.com/office/2006/metadata/properties" ma:root="true" ma:fieldsID="62f5069f21b25e99ff0f4478ab082d86" ns3:_="" ns4:_="">
    <xsd:import namespace="25e881ed-162c-4eb5-aca6-757da1858641"/>
    <xsd:import namespace="b6a4afce-f971-4dd0-9252-277d982b489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e881ed-162c-4eb5-aca6-757da1858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4afce-f971-4dd0-9252-277d982b489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e881ed-162c-4eb5-aca6-757da1858641" xsi:nil="true"/>
  </documentManagement>
</p:properties>
</file>

<file path=customXml/itemProps1.xml><?xml version="1.0" encoding="utf-8"?>
<ds:datastoreItem xmlns:ds="http://schemas.openxmlformats.org/officeDocument/2006/customXml" ds:itemID="{E77826D7-0836-4070-8B8A-FD3D63400D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e881ed-162c-4eb5-aca6-757da1858641"/>
    <ds:schemaRef ds:uri="b6a4afce-f971-4dd0-9252-277d982b48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6C262D-CA81-4163-870F-A01879EE65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8D5B04-5D58-4E46-B624-A9DC806F9068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dcmitype/"/>
    <ds:schemaRef ds:uri="b6a4afce-f971-4dd0-9252-277d982b4897"/>
    <ds:schemaRef ds:uri="25e881ed-162c-4eb5-aca6-757da1858641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 Definition</vt:lpstr>
      <vt:lpstr>Detailed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PELAYO SIERRA LOBO</dc:creator>
  <cp:lastModifiedBy>PELAYO SIERRA LOBO</cp:lastModifiedBy>
  <dcterms:created xsi:type="dcterms:W3CDTF">2026-03-17T08:53:34Z</dcterms:created>
  <dcterms:modified xsi:type="dcterms:W3CDTF">2026-03-22T12:01:59Z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0x010100CCCE666B2277194182D5BC9EB21B3CF2</vt:lpwstr>
  </property>
</Properties>
</file>